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20"/>
  </bookViews>
  <sheets>
    <sheet name="Sheet1" sheetId="1" r:id="rId1"/>
  </sheets>
  <definedNames>
    <definedName name="_xlnm._FilterDatabase" localSheetId="0" hidden="1">Sheet1!$A$1:$M$270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<sst xmlns="http://schemas.openxmlformats.org/spreadsheetml/2006/main" count="583" uniqueCount="87">
  <si>
    <t>股票名称</t>
  </si>
  <si>
    <t>股票编号</t>
  </si>
  <si>
    <t>年份</t>
  </si>
  <si>
    <t>分红</t>
  </si>
  <si>
    <t>分红率</t>
  </si>
  <si>
    <t>年内最高价</t>
  </si>
  <si>
    <t>年内最低价</t>
  </si>
  <si>
    <t>最高股息率</t>
  </si>
  <si>
    <t>最低股息率</t>
  </si>
  <si>
    <t>当年10年期国债利率</t>
  </si>
  <si>
    <t>最高股息率-国债</t>
  </si>
  <si>
    <t>公用事业</t>
  </si>
  <si>
    <t>布油均价</t>
  </si>
  <si>
    <t>招商银行A</t>
  </si>
  <si>
    <t>sh600036</t>
  </si>
  <si>
    <t>海尔智家</t>
  </si>
  <si>
    <t>sh600690</t>
  </si>
  <si>
    <t>长江电力</t>
  </si>
  <si>
    <t>sh600900</t>
  </si>
  <si>
    <t>中国移动A</t>
  </si>
  <si>
    <t>sh600941</t>
  </si>
  <si>
    <t>美的集团</t>
  </si>
  <si>
    <t>sz000333</t>
  </si>
  <si>
    <t>格力电器</t>
  </si>
  <si>
    <t>sz000651</t>
  </si>
  <si>
    <t>农业银行</t>
  </si>
  <si>
    <t>sh601288</t>
  </si>
  <si>
    <t>国投电力</t>
  </si>
  <si>
    <t>sh600886</t>
  </si>
  <si>
    <t>中国平安A</t>
  </si>
  <si>
    <t>sh601318</t>
  </si>
  <si>
    <t>中远海控A</t>
  </si>
  <si>
    <t>sh601919</t>
  </si>
  <si>
    <t>伊利股份</t>
  </si>
  <si>
    <t>sh600887</t>
  </si>
  <si>
    <t>云南白药</t>
  </si>
  <si>
    <t>sz000538</t>
  </si>
  <si>
    <t>贵州茅台</t>
  </si>
  <si>
    <t>sh600519</t>
  </si>
  <si>
    <t>泸州老窖</t>
  </si>
  <si>
    <t>sz000568</t>
  </si>
  <si>
    <t>中国太保</t>
  </si>
  <si>
    <t>sh601601</t>
  </si>
  <si>
    <t>宁波银行</t>
  </si>
  <si>
    <t>sz002142</t>
  </si>
  <si>
    <t>中国海油</t>
  </si>
  <si>
    <t>sh600938</t>
  </si>
  <si>
    <t>中国神华</t>
  </si>
  <si>
    <t>sh601088</t>
  </si>
  <si>
    <t>万华化学</t>
  </si>
  <si>
    <t>sh600309</t>
  </si>
  <si>
    <t>五粮液</t>
  </si>
  <si>
    <t>sz000858</t>
  </si>
  <si>
    <t>中信建投</t>
  </si>
  <si>
    <t>sh601066</t>
  </si>
  <si>
    <t>中国石化</t>
  </si>
  <si>
    <t>sh600028</t>
  </si>
  <si>
    <t>云天化</t>
  </si>
  <si>
    <t>sh600096</t>
  </si>
  <si>
    <t>工商银行</t>
  </si>
  <si>
    <t>sh601398</t>
  </si>
  <si>
    <t>中国石油A</t>
  </si>
  <si>
    <t>sh601857</t>
  </si>
  <si>
    <t>青岛啤酒A</t>
  </si>
  <si>
    <t>sh600600</t>
  </si>
  <si>
    <t>中国广核</t>
  </si>
  <si>
    <t>sz003816</t>
  </si>
  <si>
    <t>中国核电</t>
  </si>
  <si>
    <t>sh601985</t>
  </si>
  <si>
    <t>国电电力</t>
  </si>
  <si>
    <t>sh600795</t>
  </si>
  <si>
    <t>华能水电</t>
  </si>
  <si>
    <t>sh600025</t>
  </si>
  <si>
    <t>中国电信A</t>
  </si>
  <si>
    <t>sh601728</t>
  </si>
  <si>
    <t>建设银行A</t>
  </si>
  <si>
    <t>sh601939</t>
  </si>
  <si>
    <t>中国银行</t>
  </si>
  <si>
    <t>sh601988</t>
  </si>
  <si>
    <t>邮储银行</t>
  </si>
  <si>
    <t>sh601658</t>
  </si>
  <si>
    <t>交通银行</t>
  </si>
  <si>
    <t>sh601328</t>
  </si>
  <si>
    <t>中国移动H</t>
  </si>
  <si>
    <t>00941.HK</t>
  </si>
  <si>
    <t>中国海油H</t>
  </si>
  <si>
    <t>00883.HK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</si>
</sst>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.5"/>
      <color theme="1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10" fontId="3" fillId="0" borderId="2" xfId="3" applyNumberFormat="1" applyFont="1" applyBorder="1" applyAlignment="1">
      <alignment horizontal="center" vertical="center" wrapText="1"/>
    </xf>
    <xf numFmtId="176" fontId="3" fillId="0" borderId="2" xfId="3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6"/>
  <sheetViews>
    <sheetView tabSelected="1" zoomScale="120" zoomScaleNormal="120" workbookViewId="0">
      <pane ySplit="1" topLeftCell="A2" activePane="bottomLeft" state="frozen"/>
      <selection/>
      <selection pane="bottomLeft" activeCell="K15" sqref="K15"/>
    </sheetView>
  </sheetViews>
  <sheetFormatPr defaultColWidth="9.93269230769231" defaultRowHeight="16.8"/>
  <cols>
    <col min="1" max="2" width="14.1923076923077" style="2" customWidth="1"/>
    <col min="3" max="13" width="14.1923076923077" style="1" customWidth="1"/>
    <col min="14" max="16381" width="9.93269230769231" style="1" customWidth="1"/>
    <col min="16382" max="16384" width="9.93269230769231" style="1"/>
  </cols>
  <sheetData>
    <row r="1" s="1" customFormat="1" ht="34.75" spans="1:1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17.75" spans="1:14">
      <c r="A2" s="5" t="s">
        <v>13</v>
      </c>
      <c r="B2" s="5" t="s">
        <v>14</v>
      </c>
      <c r="C2" s="6">
        <v>2018</v>
      </c>
      <c r="D2" s="6">
        <v>0.94</v>
      </c>
      <c r="E2" s="7">
        <v>0.294</v>
      </c>
      <c r="F2" s="6">
        <v>35.4</v>
      </c>
      <c r="G2" s="6">
        <v>24.7</v>
      </c>
      <c r="H2" s="7">
        <v>0.0381</v>
      </c>
      <c r="I2" s="7">
        <v>0.0266</v>
      </c>
      <c r="J2" s="8">
        <v>0.0323</v>
      </c>
      <c r="K2" s="8">
        <f>H2-J2</f>
        <v>0.0058</v>
      </c>
      <c r="L2" s="9" t="b">
        <v>0</v>
      </c>
      <c r="M2" s="10"/>
    </row>
    <row r="3" ht="17.75" spans="1:14">
      <c r="A3" s="5" t="s">
        <v>13</v>
      </c>
      <c r="B3" s="5" t="s">
        <v>14</v>
      </c>
      <c r="C3" s="6">
        <v>2019</v>
      </c>
      <c r="D3" s="6">
        <v>1.2</v>
      </c>
      <c r="E3" s="7">
        <v>0.325</v>
      </c>
      <c r="F3" s="6">
        <v>38.6</v>
      </c>
      <c r="G3" s="6">
        <v>24.4</v>
      </c>
      <c r="H3" s="7">
        <v>0.0492</v>
      </c>
      <c r="I3" s="7">
        <v>0.0311</v>
      </c>
      <c r="J3" s="8">
        <v>0.0314</v>
      </c>
      <c r="K3" s="8">
        <f t="shared" ref="K3:K34" si="0">H3-J3</f>
        <v>0.0178</v>
      </c>
      <c r="L3" s="9" t="b">
        <v>0</v>
      </c>
      <c r="M3" s="10"/>
    </row>
    <row r="4" ht="17.75" spans="1:14">
      <c r="A4" s="5" t="s">
        <v>13</v>
      </c>
      <c r="B4" s="5" t="s">
        <v>14</v>
      </c>
      <c r="C4" s="6">
        <v>2020</v>
      </c>
      <c r="D4" s="6">
        <v>1.25</v>
      </c>
      <c r="E4" s="7">
        <v>0.324</v>
      </c>
      <c r="F4" s="6">
        <v>47.8</v>
      </c>
      <c r="G4" s="6">
        <v>28.7</v>
      </c>
      <c r="H4" s="7">
        <v>0.0436</v>
      </c>
      <c r="I4" s="7">
        <v>0.0262</v>
      </c>
      <c r="J4" s="8">
        <v>0.0317</v>
      </c>
      <c r="K4" s="8">
        <f t="shared" si="0"/>
        <v>0.0119</v>
      </c>
      <c r="L4" s="9" t="b">
        <v>0</v>
      </c>
      <c r="M4" s="10"/>
    </row>
    <row r="5" ht="17.75" spans="1:14">
      <c r="A5" s="5" t="s">
        <v>13</v>
      </c>
      <c r="B5" s="5" t="s">
        <v>14</v>
      </c>
      <c r="C5" s="6">
        <v>2021</v>
      </c>
      <c r="D5" s="6">
        <v>1.52</v>
      </c>
      <c r="E5" s="7">
        <v>0.32</v>
      </c>
      <c r="F5" s="6">
        <v>58.9</v>
      </c>
      <c r="G5" s="6">
        <v>41.4</v>
      </c>
      <c r="H5" s="7">
        <v>0.0367</v>
      </c>
      <c r="I5" s="7">
        <v>0.0258</v>
      </c>
      <c r="J5" s="8">
        <v>0.0278</v>
      </c>
      <c r="K5" s="8">
        <f t="shared" si="0"/>
        <v>0.00890000000000001</v>
      </c>
      <c r="L5" s="9" t="b">
        <v>0</v>
      </c>
      <c r="M5" s="10"/>
    </row>
    <row r="6" ht="17.75" spans="1:14">
      <c r="A6" s="5" t="s">
        <v>13</v>
      </c>
      <c r="B6" s="5" t="s">
        <v>14</v>
      </c>
      <c r="C6" s="6">
        <v>2022</v>
      </c>
      <c r="D6" s="6">
        <v>1.74</v>
      </c>
      <c r="E6" s="7">
        <v>0.318</v>
      </c>
      <c r="F6" s="6">
        <v>53</v>
      </c>
      <c r="G6" s="6">
        <v>26.3</v>
      </c>
      <c r="H6" s="7">
        <v>0.0662</v>
      </c>
      <c r="I6" s="7">
        <v>0.0328</v>
      </c>
      <c r="J6" s="8">
        <v>0.0284</v>
      </c>
      <c r="K6" s="8">
        <f t="shared" si="0"/>
        <v>0.0378</v>
      </c>
      <c r="L6" s="9" t="b">
        <v>0</v>
      </c>
      <c r="M6" s="10"/>
    </row>
    <row r="7" ht="17.75" spans="1:14">
      <c r="A7" s="5" t="s">
        <v>13</v>
      </c>
      <c r="B7" s="5" t="s">
        <v>14</v>
      </c>
      <c r="C7" s="6">
        <v>2023</v>
      </c>
      <c r="D7" s="6">
        <v>1.97</v>
      </c>
      <c r="E7" s="7">
        <v>0.339</v>
      </c>
      <c r="F7" s="6">
        <v>42.6</v>
      </c>
      <c r="G7" s="6">
        <v>26.9</v>
      </c>
      <c r="H7" s="7">
        <v>0.0732</v>
      </c>
      <c r="I7" s="7">
        <v>0.0462</v>
      </c>
      <c r="J7" s="8">
        <v>0.0257</v>
      </c>
      <c r="K7" s="8">
        <f t="shared" si="0"/>
        <v>0.0475</v>
      </c>
      <c r="L7" s="9" t="b">
        <v>0</v>
      </c>
      <c r="M7" s="10"/>
    </row>
    <row r="8" ht="17.75" spans="1:14">
      <c r="A8" s="5" t="s">
        <v>13</v>
      </c>
      <c r="B8" s="5" t="s">
        <v>14</v>
      </c>
      <c r="C8" s="6">
        <v>2024</v>
      </c>
      <c r="D8" s="6">
        <v>2</v>
      </c>
      <c r="E8" s="7">
        <v>0.34</v>
      </c>
      <c r="F8" s="6">
        <v>41.4</v>
      </c>
      <c r="G8" s="6">
        <v>27.4</v>
      </c>
      <c r="H8" s="7">
        <v>0.073</v>
      </c>
      <c r="I8" s="7">
        <v>0.0483</v>
      </c>
      <c r="J8" s="8">
        <v>0.0168</v>
      </c>
      <c r="K8" s="8">
        <f t="shared" si="0"/>
        <v>0.0562</v>
      </c>
      <c r="L8" s="9" t="b">
        <v>0</v>
      </c>
      <c r="M8" s="10"/>
    </row>
    <row r="9" ht="17.75" spans="1:14">
      <c r="A9" s="5" t="s">
        <v>13</v>
      </c>
      <c r="B9" s="5" t="s">
        <v>14</v>
      </c>
      <c r="C9" s="6">
        <v>2025</v>
      </c>
      <c r="D9" s="6">
        <v>2.1</v>
      </c>
      <c r="E9" s="7">
        <v>0.35</v>
      </c>
      <c r="F9" s="6">
        <v>48.6</v>
      </c>
      <c r="G9" s="6">
        <v>38.1</v>
      </c>
      <c r="H9" s="7">
        <v>0.0551</v>
      </c>
      <c r="I9" s="7">
        <v>0.0432</v>
      </c>
      <c r="J9" s="8">
        <v>0.0185</v>
      </c>
      <c r="K9" s="8">
        <f t="shared" si="0"/>
        <v>0.0366</v>
      </c>
      <c r="L9" s="9" t="b">
        <v>0</v>
      </c>
      <c r="M9" s="10"/>
    </row>
    <row r="10" ht="18.35" spans="1:14">
      <c r="A10" s="5" t="s">
        <v>15</v>
      </c>
      <c r="B10" s="5" t="s">
        <v>16</v>
      </c>
      <c r="C10" s="6">
        <v>2018</v>
      </c>
      <c r="D10" s="6">
        <v>0.35</v>
      </c>
      <c r="E10" s="7">
        <v>0.302</v>
      </c>
      <c r="F10" s="6">
        <v>23.2</v>
      </c>
      <c r="G10" s="6">
        <v>12</v>
      </c>
      <c r="H10" s="7">
        <v>0.0292</v>
      </c>
      <c r="I10" s="7">
        <v>0.0151</v>
      </c>
      <c r="J10" s="8">
        <v>0.0323</v>
      </c>
      <c r="K10" s="8">
        <f t="shared" si="0"/>
        <v>-0.0031</v>
      </c>
      <c r="L10" s="9" t="b">
        <v>0</v>
      </c>
      <c r="M10" s="10"/>
      <c r="N10" s="11"/>
    </row>
    <row r="11" ht="17.75" spans="1:14">
      <c r="A11" s="5" t="s">
        <v>15</v>
      </c>
      <c r="B11" s="5" t="s">
        <v>16</v>
      </c>
      <c r="C11" s="6">
        <v>2019</v>
      </c>
      <c r="D11" s="6">
        <v>0.38</v>
      </c>
      <c r="E11" s="7">
        <v>0.3</v>
      </c>
      <c r="F11" s="6">
        <v>20</v>
      </c>
      <c r="G11" s="6">
        <v>13.2</v>
      </c>
      <c r="H11" s="7">
        <v>0.0288</v>
      </c>
      <c r="I11" s="7">
        <v>0.019</v>
      </c>
      <c r="J11" s="8">
        <v>0.0314</v>
      </c>
      <c r="K11" s="8">
        <f t="shared" si="0"/>
        <v>-0.0026</v>
      </c>
      <c r="L11" s="9" t="b">
        <v>0</v>
      </c>
      <c r="M11" s="10"/>
    </row>
    <row r="12" ht="17.75" spans="1:14">
      <c r="A12" s="5" t="s">
        <v>15</v>
      </c>
      <c r="B12" s="5" t="s">
        <v>16</v>
      </c>
      <c r="C12" s="6">
        <v>2020</v>
      </c>
      <c r="D12" s="6">
        <v>0.37</v>
      </c>
      <c r="E12" s="7">
        <v>0.387</v>
      </c>
      <c r="F12" s="6">
        <v>30.6</v>
      </c>
      <c r="G12" s="6">
        <v>13.8</v>
      </c>
      <c r="H12" s="7">
        <v>0.0268</v>
      </c>
      <c r="I12" s="7">
        <v>0.0121</v>
      </c>
      <c r="J12" s="8">
        <v>0.0317</v>
      </c>
      <c r="K12" s="8">
        <f t="shared" si="0"/>
        <v>-0.0049</v>
      </c>
      <c r="L12" s="9" t="b">
        <v>0</v>
      </c>
      <c r="M12" s="10"/>
    </row>
    <row r="13" ht="17.75" spans="1:14">
      <c r="A13" s="5" t="s">
        <v>15</v>
      </c>
      <c r="B13" s="5" t="s">
        <v>16</v>
      </c>
      <c r="C13" s="6">
        <v>2021</v>
      </c>
      <c r="D13" s="6">
        <v>0.46</v>
      </c>
      <c r="E13" s="7">
        <v>0.33</v>
      </c>
      <c r="F13" s="6">
        <v>36</v>
      </c>
      <c r="G13" s="6">
        <v>23.5</v>
      </c>
      <c r="H13" s="7">
        <v>0.0196</v>
      </c>
      <c r="I13" s="7">
        <v>0.0128</v>
      </c>
      <c r="J13" s="8">
        <v>0.0278</v>
      </c>
      <c r="K13" s="8">
        <f t="shared" si="0"/>
        <v>-0.0082</v>
      </c>
      <c r="L13" s="9" t="b">
        <v>0</v>
      </c>
      <c r="M13" s="10"/>
    </row>
    <row r="14" ht="17.75" spans="1:14">
      <c r="A14" s="5" t="s">
        <v>15</v>
      </c>
      <c r="B14" s="5" t="s">
        <v>16</v>
      </c>
      <c r="C14" s="6">
        <v>2022</v>
      </c>
      <c r="D14" s="6">
        <v>0.57</v>
      </c>
      <c r="E14" s="7">
        <v>0.36</v>
      </c>
      <c r="F14" s="6">
        <v>31.3</v>
      </c>
      <c r="G14" s="6">
        <v>20.4</v>
      </c>
      <c r="H14" s="7">
        <v>0.0279</v>
      </c>
      <c r="I14" s="7">
        <v>0.0182</v>
      </c>
      <c r="J14" s="8">
        <v>0.0284</v>
      </c>
      <c r="K14" s="8">
        <f t="shared" si="0"/>
        <v>-0.0005</v>
      </c>
      <c r="L14" s="9" t="b">
        <v>0</v>
      </c>
      <c r="M14" s="10"/>
    </row>
    <row r="15" ht="17.75" spans="1:14">
      <c r="A15" s="5" t="s">
        <v>15</v>
      </c>
      <c r="B15" s="5" t="s">
        <v>16</v>
      </c>
      <c r="C15" s="6">
        <v>2023</v>
      </c>
      <c r="D15" s="6">
        <v>0.8</v>
      </c>
      <c r="E15" s="7">
        <v>0.456</v>
      </c>
      <c r="F15" s="6">
        <v>27.9</v>
      </c>
      <c r="G15" s="6">
        <v>19.9</v>
      </c>
      <c r="H15" s="7">
        <v>0.0402</v>
      </c>
      <c r="I15" s="7">
        <v>0.0287</v>
      </c>
      <c r="J15" s="8">
        <v>0.0257</v>
      </c>
      <c r="K15" s="8">
        <f t="shared" si="0"/>
        <v>0.0145</v>
      </c>
      <c r="L15" s="9" t="b">
        <v>0</v>
      </c>
      <c r="M15" s="10"/>
    </row>
    <row r="16" ht="17.75" spans="1:14">
      <c r="A16" s="5" t="s">
        <v>15</v>
      </c>
      <c r="B16" s="5" t="s">
        <v>16</v>
      </c>
      <c r="C16" s="6">
        <v>2024</v>
      </c>
      <c r="D16" s="6">
        <v>0.97</v>
      </c>
      <c r="E16" s="7">
        <v>0.48</v>
      </c>
      <c r="F16" s="6">
        <v>35.4</v>
      </c>
      <c r="G16" s="6">
        <v>20.4</v>
      </c>
      <c r="H16" s="7">
        <v>0.0475</v>
      </c>
      <c r="I16" s="7">
        <v>0.0274</v>
      </c>
      <c r="J16" s="8">
        <v>0.0168</v>
      </c>
      <c r="K16" s="8">
        <f t="shared" si="0"/>
        <v>0.0307</v>
      </c>
      <c r="L16" s="9" t="b">
        <v>0</v>
      </c>
      <c r="M16" s="10"/>
    </row>
    <row r="17" ht="17.75" spans="1:13">
      <c r="A17" s="5" t="s">
        <v>15</v>
      </c>
      <c r="B17" s="5" t="s">
        <v>16</v>
      </c>
      <c r="C17" s="6">
        <v>2025</v>
      </c>
      <c r="D17" s="6">
        <v>1.15</v>
      </c>
      <c r="E17" s="7">
        <v>0.5</v>
      </c>
      <c r="F17" s="6">
        <v>29.7</v>
      </c>
      <c r="G17" s="6">
        <v>23.6</v>
      </c>
      <c r="H17" s="7">
        <v>0.0487</v>
      </c>
      <c r="I17" s="7">
        <v>0.0387</v>
      </c>
      <c r="J17" s="8">
        <v>0.0185</v>
      </c>
      <c r="K17" s="8">
        <f t="shared" si="0"/>
        <v>0.0302</v>
      </c>
      <c r="L17" s="9" t="b">
        <v>0</v>
      </c>
      <c r="M17" s="10"/>
    </row>
    <row r="18" ht="17.75" spans="1:13">
      <c r="A18" s="5" t="s">
        <v>17</v>
      </c>
      <c r="B18" s="5" t="s">
        <v>18</v>
      </c>
      <c r="C18" s="6">
        <v>2018</v>
      </c>
      <c r="D18" s="6">
        <v>0.68</v>
      </c>
      <c r="E18" s="7">
        <v>0.661</v>
      </c>
      <c r="F18" s="6">
        <v>17.8</v>
      </c>
      <c r="G18" s="6">
        <v>14.1</v>
      </c>
      <c r="H18" s="7">
        <v>0.0482</v>
      </c>
      <c r="I18" s="7">
        <v>0.0382</v>
      </c>
      <c r="J18" s="8">
        <v>0.0323</v>
      </c>
      <c r="K18" s="8">
        <f t="shared" si="0"/>
        <v>0.0159</v>
      </c>
      <c r="L18" s="8" t="b">
        <v>1</v>
      </c>
      <c r="M18" s="10"/>
    </row>
    <row r="19" ht="17.75" spans="1:13">
      <c r="A19" s="5" t="s">
        <v>17</v>
      </c>
      <c r="B19" s="5" t="s">
        <v>18</v>
      </c>
      <c r="C19" s="6">
        <v>2019</v>
      </c>
      <c r="D19" s="6">
        <v>0.68</v>
      </c>
      <c r="E19" s="7">
        <v>0.694</v>
      </c>
      <c r="F19" s="6">
        <v>19.7</v>
      </c>
      <c r="G19" s="6">
        <v>15.1</v>
      </c>
      <c r="H19" s="7">
        <v>0.045</v>
      </c>
      <c r="I19" s="7">
        <v>0.0345</v>
      </c>
      <c r="J19" s="8">
        <v>0.0314</v>
      </c>
      <c r="K19" s="8">
        <f t="shared" si="0"/>
        <v>0.0136</v>
      </c>
      <c r="L19" s="8" t="b">
        <v>1</v>
      </c>
      <c r="M19" s="10"/>
    </row>
    <row r="20" ht="17.75" spans="1:13">
      <c r="A20" s="5" t="s">
        <v>17</v>
      </c>
      <c r="B20" s="5" t="s">
        <v>18</v>
      </c>
      <c r="C20" s="6">
        <v>2020</v>
      </c>
      <c r="D20" s="6">
        <v>0.7</v>
      </c>
      <c r="E20" s="7">
        <v>0.605</v>
      </c>
      <c r="F20" s="6">
        <v>21</v>
      </c>
      <c r="G20" s="6">
        <v>16</v>
      </c>
      <c r="H20" s="7">
        <v>0.0438</v>
      </c>
      <c r="I20" s="7">
        <v>0.0333</v>
      </c>
      <c r="J20" s="8">
        <v>0.0317</v>
      </c>
      <c r="K20" s="8">
        <f t="shared" si="0"/>
        <v>0.0121</v>
      </c>
      <c r="L20" s="8" t="b">
        <v>1</v>
      </c>
      <c r="M20" s="10"/>
    </row>
    <row r="21" ht="17.75" spans="1:13">
      <c r="A21" s="5" t="s">
        <v>17</v>
      </c>
      <c r="B21" s="5" t="s">
        <v>18</v>
      </c>
      <c r="C21" s="6">
        <v>2021</v>
      </c>
      <c r="D21" s="6">
        <v>0.82</v>
      </c>
      <c r="E21" s="7">
        <v>0.706</v>
      </c>
      <c r="F21" s="6">
        <v>23</v>
      </c>
      <c r="G21" s="6">
        <v>18.2</v>
      </c>
      <c r="H21" s="7">
        <v>0.0451</v>
      </c>
      <c r="I21" s="7">
        <v>0.0357</v>
      </c>
      <c r="J21" s="8">
        <v>0.0278</v>
      </c>
      <c r="K21" s="8">
        <f t="shared" si="0"/>
        <v>0.0173</v>
      </c>
      <c r="L21" s="8" t="b">
        <v>1</v>
      </c>
      <c r="M21" s="10"/>
    </row>
    <row r="22" ht="17.75" spans="1:13">
      <c r="A22" s="5" t="s">
        <v>17</v>
      </c>
      <c r="B22" s="5" t="s">
        <v>18</v>
      </c>
      <c r="C22" s="6">
        <v>2022</v>
      </c>
      <c r="D22" s="6">
        <v>0.85</v>
      </c>
      <c r="E22" s="7">
        <v>0.847</v>
      </c>
      <c r="F22" s="6">
        <v>25.3</v>
      </c>
      <c r="G22" s="6">
        <v>19.8</v>
      </c>
      <c r="H22" s="7">
        <v>0.0429</v>
      </c>
      <c r="I22" s="7">
        <v>0.0336</v>
      </c>
      <c r="J22" s="8">
        <v>0.0284</v>
      </c>
      <c r="K22" s="8">
        <f t="shared" si="0"/>
        <v>0.0145</v>
      </c>
      <c r="L22" s="8" t="b">
        <v>1</v>
      </c>
      <c r="M22" s="10"/>
    </row>
    <row r="23" ht="17.75" spans="1:13">
      <c r="A23" s="5" t="s">
        <v>17</v>
      </c>
      <c r="B23" s="5" t="s">
        <v>18</v>
      </c>
      <c r="C23" s="6">
        <v>2023</v>
      </c>
      <c r="D23" s="6">
        <v>0.82</v>
      </c>
      <c r="E23" s="7">
        <v>0.736</v>
      </c>
      <c r="F23" s="6">
        <v>23.8</v>
      </c>
      <c r="G23" s="6">
        <v>20</v>
      </c>
      <c r="H23" s="7">
        <v>0.041</v>
      </c>
      <c r="I23" s="7">
        <v>0.0345</v>
      </c>
      <c r="J23" s="8">
        <v>0.0257</v>
      </c>
      <c r="K23" s="8">
        <f t="shared" si="0"/>
        <v>0.0153</v>
      </c>
      <c r="L23" s="8" t="b">
        <v>1</v>
      </c>
      <c r="M23" s="10"/>
    </row>
    <row r="24" ht="17.75" spans="1:13">
      <c r="A24" s="5" t="s">
        <v>17</v>
      </c>
      <c r="B24" s="5" t="s">
        <v>18</v>
      </c>
      <c r="C24" s="6">
        <v>2024</v>
      </c>
      <c r="D24" s="6">
        <v>0.94</v>
      </c>
      <c r="E24" s="7">
        <v>0.71</v>
      </c>
      <c r="F24" s="6">
        <v>32.3</v>
      </c>
      <c r="G24" s="6">
        <v>22.9</v>
      </c>
      <c r="H24" s="7">
        <v>0.041</v>
      </c>
      <c r="I24" s="7">
        <v>0.0291</v>
      </c>
      <c r="J24" s="8">
        <v>0.0168</v>
      </c>
      <c r="K24" s="8">
        <f t="shared" si="0"/>
        <v>0.0242</v>
      </c>
      <c r="L24" s="8" t="b">
        <v>1</v>
      </c>
      <c r="M24" s="10"/>
    </row>
    <row r="25" ht="17.75" spans="1:13">
      <c r="A25" s="5" t="s">
        <v>17</v>
      </c>
      <c r="B25" s="5" t="s">
        <v>18</v>
      </c>
      <c r="C25" s="6">
        <v>2025</v>
      </c>
      <c r="D25" s="6">
        <v>1</v>
      </c>
      <c r="E25" s="7">
        <v>0.72</v>
      </c>
      <c r="F25" s="6">
        <v>31.2</v>
      </c>
      <c r="G25" s="6">
        <v>25.3</v>
      </c>
      <c r="H25" s="7">
        <v>0.0395</v>
      </c>
      <c r="I25" s="7">
        <v>0.0321</v>
      </c>
      <c r="J25" s="8">
        <v>0.0185</v>
      </c>
      <c r="K25" s="8">
        <f t="shared" si="0"/>
        <v>0.021</v>
      </c>
      <c r="L25" s="8" t="b">
        <v>1</v>
      </c>
      <c r="M25" s="10"/>
    </row>
    <row r="26" ht="17.75" spans="1:13">
      <c r="A26" s="5" t="s">
        <v>19</v>
      </c>
      <c r="B26" s="5" t="s">
        <v>20</v>
      </c>
      <c r="C26" s="6">
        <v>2022</v>
      </c>
      <c r="D26" s="6">
        <v>3.87</v>
      </c>
      <c r="E26" s="7">
        <v>0.66</v>
      </c>
      <c r="F26" s="6">
        <v>79.2</v>
      </c>
      <c r="G26" s="6">
        <v>58</v>
      </c>
      <c r="H26" s="7">
        <v>0.0667</v>
      </c>
      <c r="I26" s="7">
        <v>0.0489</v>
      </c>
      <c r="J26" s="8">
        <v>0.0284</v>
      </c>
      <c r="K26" s="8">
        <f t="shared" si="0"/>
        <v>0.0383</v>
      </c>
      <c r="L26" s="9" t="b">
        <v>0</v>
      </c>
      <c r="M26" s="10"/>
    </row>
    <row r="27" ht="17.75" spans="1:13">
      <c r="A27" s="5" t="s">
        <v>19</v>
      </c>
      <c r="B27" s="5" t="s">
        <v>20</v>
      </c>
      <c r="C27" s="6">
        <v>2023</v>
      </c>
      <c r="D27" s="6">
        <v>4.4</v>
      </c>
      <c r="E27" s="7">
        <v>0.716</v>
      </c>
      <c r="F27" s="6">
        <v>109.6</v>
      </c>
      <c r="G27" s="6">
        <v>67.5</v>
      </c>
      <c r="H27" s="7">
        <v>0.0652</v>
      </c>
      <c r="I27" s="7">
        <v>0.0401</v>
      </c>
      <c r="J27" s="8">
        <v>0.0257</v>
      </c>
      <c r="K27" s="8">
        <f t="shared" ref="K27:K58" si="1">H27-J27</f>
        <v>0.0395</v>
      </c>
      <c r="L27" s="9" t="b">
        <v>0</v>
      </c>
      <c r="M27" s="10"/>
    </row>
    <row r="28" ht="17.75" spans="1:13">
      <c r="A28" s="5" t="s">
        <v>19</v>
      </c>
      <c r="B28" s="5" t="s">
        <v>20</v>
      </c>
      <c r="C28" s="6">
        <v>2024</v>
      </c>
      <c r="D28" s="6">
        <v>4.67</v>
      </c>
      <c r="E28" s="7">
        <v>0.727</v>
      </c>
      <c r="F28" s="6">
        <v>118.7</v>
      </c>
      <c r="G28" s="6">
        <v>100.1</v>
      </c>
      <c r="H28" s="7">
        <v>0.0467</v>
      </c>
      <c r="I28" s="7">
        <v>0.0393</v>
      </c>
      <c r="J28" s="8">
        <v>0.0168</v>
      </c>
      <c r="K28" s="8">
        <f t="shared" si="1"/>
        <v>0.0299</v>
      </c>
      <c r="L28" s="9" t="b">
        <v>0</v>
      </c>
      <c r="M28" s="10"/>
    </row>
    <row r="29" ht="17.75" spans="1:13">
      <c r="A29" s="5" t="s">
        <v>19</v>
      </c>
      <c r="B29" s="5" t="s">
        <v>20</v>
      </c>
      <c r="C29" s="6">
        <v>2025</v>
      </c>
      <c r="D29" s="6">
        <v>5</v>
      </c>
      <c r="E29" s="7">
        <v>0.75</v>
      </c>
      <c r="F29" s="6">
        <v>101.4</v>
      </c>
      <c r="G29" s="6">
        <v>91.5</v>
      </c>
      <c r="H29" s="7">
        <v>0.0546</v>
      </c>
      <c r="I29" s="7">
        <v>0.0493</v>
      </c>
      <c r="J29" s="8">
        <v>0.0185</v>
      </c>
      <c r="K29" s="8">
        <f t="shared" si="1"/>
        <v>0.0361</v>
      </c>
      <c r="L29" s="9" t="b">
        <v>0</v>
      </c>
      <c r="M29" s="10"/>
    </row>
    <row r="30" ht="17.75" spans="1:13">
      <c r="A30" s="5" t="s">
        <v>21</v>
      </c>
      <c r="B30" s="5" t="s">
        <v>22</v>
      </c>
      <c r="C30" s="6">
        <v>2017</v>
      </c>
      <c r="D30" s="6">
        <v>1.2</v>
      </c>
      <c r="E30" s="10"/>
      <c r="F30" s="6">
        <v>58.3</v>
      </c>
      <c r="G30" s="6">
        <v>27.8</v>
      </c>
      <c r="H30" s="7">
        <v>0.0432</v>
      </c>
      <c r="I30" s="7">
        <v>0.0206</v>
      </c>
      <c r="J30" s="8">
        <v>0.0388</v>
      </c>
      <c r="K30" s="8">
        <f t="shared" si="1"/>
        <v>0.0044</v>
      </c>
      <c r="L30" s="9" t="b">
        <v>0</v>
      </c>
      <c r="M30" s="10"/>
    </row>
    <row r="31" ht="17.75" spans="1:13">
      <c r="A31" s="5" t="s">
        <v>21</v>
      </c>
      <c r="B31" s="5" t="s">
        <v>22</v>
      </c>
      <c r="C31" s="6">
        <v>2018</v>
      </c>
      <c r="D31" s="6">
        <v>1.3</v>
      </c>
      <c r="E31" s="10"/>
      <c r="F31" s="6">
        <v>62</v>
      </c>
      <c r="G31" s="6">
        <v>34</v>
      </c>
      <c r="H31" s="7">
        <v>0.0382</v>
      </c>
      <c r="I31" s="7">
        <v>0.021</v>
      </c>
      <c r="J31" s="8">
        <v>0.0323</v>
      </c>
      <c r="K31" s="8">
        <f t="shared" si="1"/>
        <v>0.0059</v>
      </c>
      <c r="L31" s="9" t="b">
        <v>0</v>
      </c>
      <c r="M31" s="10"/>
    </row>
    <row r="32" ht="17.75" spans="1:13">
      <c r="A32" s="5" t="s">
        <v>21</v>
      </c>
      <c r="B32" s="5" t="s">
        <v>22</v>
      </c>
      <c r="C32" s="6">
        <v>2019</v>
      </c>
      <c r="D32" s="6">
        <v>1.6</v>
      </c>
      <c r="E32" s="10"/>
      <c r="F32" s="6">
        <v>60.8</v>
      </c>
      <c r="G32" s="6">
        <v>35.8</v>
      </c>
      <c r="H32" s="7">
        <v>0.0447</v>
      </c>
      <c r="I32" s="7">
        <v>0.0263</v>
      </c>
      <c r="J32" s="8">
        <v>0.0314</v>
      </c>
      <c r="K32" s="8">
        <f t="shared" si="1"/>
        <v>0.0133</v>
      </c>
      <c r="L32" s="9" t="b">
        <v>0</v>
      </c>
      <c r="M32" s="10"/>
    </row>
    <row r="33" ht="17.75" spans="1:13">
      <c r="A33" s="5" t="s">
        <v>21</v>
      </c>
      <c r="B33" s="5" t="s">
        <v>22</v>
      </c>
      <c r="C33" s="6">
        <v>2020</v>
      </c>
      <c r="D33" s="6">
        <v>1.6</v>
      </c>
      <c r="E33" s="10"/>
      <c r="F33" s="6">
        <v>98.9</v>
      </c>
      <c r="G33" s="6">
        <v>46.3</v>
      </c>
      <c r="H33" s="7">
        <v>0.0346</v>
      </c>
      <c r="I33" s="7">
        <v>0.0162</v>
      </c>
      <c r="J33" s="8">
        <v>0.0317</v>
      </c>
      <c r="K33" s="8">
        <f t="shared" si="1"/>
        <v>0.0029</v>
      </c>
      <c r="L33" s="9" t="b">
        <v>0</v>
      </c>
      <c r="M33" s="10"/>
    </row>
    <row r="34" ht="17.75" spans="1:13">
      <c r="A34" s="5" t="s">
        <v>21</v>
      </c>
      <c r="B34" s="5" t="s">
        <v>22</v>
      </c>
      <c r="C34" s="6">
        <v>2021</v>
      </c>
      <c r="D34" s="6">
        <v>1.7</v>
      </c>
      <c r="E34" s="10"/>
      <c r="F34" s="6">
        <v>108</v>
      </c>
      <c r="G34" s="6">
        <v>61.1</v>
      </c>
      <c r="H34" s="7">
        <v>0.0278</v>
      </c>
      <c r="I34" s="7">
        <v>0.0157</v>
      </c>
      <c r="J34" s="8">
        <v>0.0278</v>
      </c>
      <c r="K34" s="8">
        <f t="shared" si="1"/>
        <v>0</v>
      </c>
      <c r="L34" s="9" t="b">
        <v>0</v>
      </c>
      <c r="M34" s="10"/>
    </row>
    <row r="35" ht="17.75" spans="1:13">
      <c r="A35" s="5" t="s">
        <v>21</v>
      </c>
      <c r="B35" s="5" t="s">
        <v>22</v>
      </c>
      <c r="C35" s="6">
        <v>2022</v>
      </c>
      <c r="D35" s="6">
        <v>2.5</v>
      </c>
      <c r="E35" s="10"/>
      <c r="F35" s="6">
        <v>80.9</v>
      </c>
      <c r="G35" s="6">
        <v>40.1</v>
      </c>
      <c r="H35" s="7">
        <v>0.0623</v>
      </c>
      <c r="I35" s="7">
        <v>0.0309</v>
      </c>
      <c r="J35" s="8">
        <v>0.0284</v>
      </c>
      <c r="K35" s="8">
        <f t="shared" si="1"/>
        <v>0.0339</v>
      </c>
      <c r="L35" s="9" t="b">
        <v>0</v>
      </c>
      <c r="M35" s="10"/>
    </row>
    <row r="36" ht="17.75" spans="1:13">
      <c r="A36" s="5" t="s">
        <v>21</v>
      </c>
      <c r="B36" s="5" t="s">
        <v>22</v>
      </c>
      <c r="C36" s="6">
        <v>2023</v>
      </c>
      <c r="D36" s="6">
        <v>3</v>
      </c>
      <c r="E36" s="10"/>
      <c r="F36" s="6">
        <v>61.3</v>
      </c>
      <c r="G36" s="6">
        <v>48.5</v>
      </c>
      <c r="H36" s="7">
        <v>0.0619</v>
      </c>
      <c r="I36" s="7">
        <v>0.0489</v>
      </c>
      <c r="J36" s="8">
        <v>0.0257</v>
      </c>
      <c r="K36" s="8">
        <f t="shared" si="1"/>
        <v>0.0362</v>
      </c>
      <c r="L36" s="9" t="b">
        <v>0</v>
      </c>
      <c r="M36" s="10"/>
    </row>
    <row r="37" ht="17.75" spans="1:13">
      <c r="A37" s="5" t="s">
        <v>21</v>
      </c>
      <c r="B37" s="5" t="s">
        <v>22</v>
      </c>
      <c r="C37" s="6">
        <v>2024</v>
      </c>
      <c r="D37" s="6">
        <v>3.5</v>
      </c>
      <c r="E37" s="10"/>
      <c r="F37" s="6">
        <v>83.7</v>
      </c>
      <c r="G37" s="6">
        <v>54.1</v>
      </c>
      <c r="H37" s="7">
        <v>0.0647</v>
      </c>
      <c r="I37" s="7">
        <v>0.0418</v>
      </c>
      <c r="J37" s="8">
        <v>0.0168</v>
      </c>
      <c r="K37" s="8">
        <f t="shared" si="1"/>
        <v>0.0479</v>
      </c>
      <c r="L37" s="9" t="b">
        <v>0</v>
      </c>
      <c r="M37" s="10"/>
    </row>
    <row r="38" ht="17.75" spans="1:13">
      <c r="A38" s="5" t="s">
        <v>21</v>
      </c>
      <c r="B38" s="5" t="s">
        <v>22</v>
      </c>
      <c r="C38" s="6">
        <v>2025</v>
      </c>
      <c r="D38" s="6">
        <v>3.7</v>
      </c>
      <c r="E38" s="10"/>
      <c r="F38" s="6">
        <v>80.5</v>
      </c>
      <c r="G38" s="6">
        <v>66</v>
      </c>
      <c r="H38" s="7">
        <v>0.0561</v>
      </c>
      <c r="I38" s="7">
        <v>0.046</v>
      </c>
      <c r="J38" s="8">
        <v>0.0185</v>
      </c>
      <c r="K38" s="8">
        <f t="shared" si="1"/>
        <v>0.0376</v>
      </c>
      <c r="L38" s="9" t="b">
        <v>0</v>
      </c>
      <c r="M38" s="10"/>
    </row>
    <row r="39" ht="17.75" spans="1:13">
      <c r="A39" s="5" t="s">
        <v>23</v>
      </c>
      <c r="B39" s="5" t="s">
        <v>24</v>
      </c>
      <c r="C39" s="6">
        <v>2017</v>
      </c>
      <c r="D39" s="6">
        <v>0</v>
      </c>
      <c r="E39" s="10"/>
      <c r="F39" s="6">
        <v>48.2</v>
      </c>
      <c r="G39" s="6">
        <v>23.3</v>
      </c>
      <c r="H39" s="6">
        <v>0</v>
      </c>
      <c r="I39" s="6">
        <v>0</v>
      </c>
      <c r="J39" s="8">
        <v>0.0388</v>
      </c>
      <c r="K39" s="8">
        <f t="shared" si="1"/>
        <v>-0.0388</v>
      </c>
      <c r="L39" s="9" t="b">
        <v>0</v>
      </c>
      <c r="M39" s="10"/>
    </row>
    <row r="40" ht="17.75" spans="1:13">
      <c r="A40" s="5" t="s">
        <v>23</v>
      </c>
      <c r="B40" s="5" t="s">
        <v>24</v>
      </c>
      <c r="C40" s="6">
        <v>2018</v>
      </c>
      <c r="D40" s="6">
        <v>2.1</v>
      </c>
      <c r="E40" s="10"/>
      <c r="F40" s="6">
        <v>58.7</v>
      </c>
      <c r="G40" s="6">
        <v>35.4</v>
      </c>
      <c r="H40" s="7">
        <v>0.0593</v>
      </c>
      <c r="I40" s="7">
        <v>0.0358</v>
      </c>
      <c r="J40" s="8">
        <v>0.0323</v>
      </c>
      <c r="K40" s="8">
        <f t="shared" si="1"/>
        <v>0.027</v>
      </c>
      <c r="L40" s="9" t="b">
        <v>0</v>
      </c>
      <c r="M40" s="10"/>
    </row>
    <row r="41" ht="17.75" spans="1:13">
      <c r="A41" s="5" t="s">
        <v>23</v>
      </c>
      <c r="B41" s="5" t="s">
        <v>24</v>
      </c>
      <c r="C41" s="6">
        <v>2019</v>
      </c>
      <c r="D41" s="6">
        <v>2.2</v>
      </c>
      <c r="E41" s="10"/>
      <c r="F41" s="6">
        <v>66.1</v>
      </c>
      <c r="G41" s="6">
        <v>35.6</v>
      </c>
      <c r="H41" s="7">
        <v>0.0618</v>
      </c>
      <c r="I41" s="7">
        <v>0.0333</v>
      </c>
      <c r="J41" s="8">
        <v>0.0314</v>
      </c>
      <c r="K41" s="8">
        <f t="shared" si="1"/>
        <v>0.0304</v>
      </c>
      <c r="L41" s="9" t="b">
        <v>0</v>
      </c>
      <c r="M41" s="10"/>
    </row>
    <row r="42" ht="17.75" spans="1:13">
      <c r="A42" s="5" t="s">
        <v>23</v>
      </c>
      <c r="B42" s="5" t="s">
        <v>24</v>
      </c>
      <c r="C42" s="6">
        <v>2020</v>
      </c>
      <c r="D42" s="6">
        <v>4</v>
      </c>
      <c r="E42" s="10"/>
      <c r="F42" s="6">
        <v>70.6</v>
      </c>
      <c r="G42" s="6">
        <v>48.4</v>
      </c>
      <c r="H42" s="7">
        <v>0.0826</v>
      </c>
      <c r="I42" s="7">
        <v>0.0567</v>
      </c>
      <c r="J42" s="8">
        <v>0.0317</v>
      </c>
      <c r="K42" s="8">
        <f t="shared" si="1"/>
        <v>0.0509</v>
      </c>
      <c r="L42" s="9" t="b">
        <v>0</v>
      </c>
      <c r="M42" s="10"/>
    </row>
    <row r="43" ht="17.75" spans="1:13">
      <c r="A43" s="5" t="s">
        <v>23</v>
      </c>
      <c r="B43" s="5" t="s">
        <v>24</v>
      </c>
      <c r="C43" s="6">
        <v>2021</v>
      </c>
      <c r="D43" s="6">
        <v>3</v>
      </c>
      <c r="E43" s="10"/>
      <c r="F43" s="6">
        <v>66.8</v>
      </c>
      <c r="G43" s="6">
        <v>34.1</v>
      </c>
      <c r="H43" s="7">
        <v>0.088</v>
      </c>
      <c r="I43" s="7">
        <v>0.0449</v>
      </c>
      <c r="J43" s="8">
        <v>0.0278</v>
      </c>
      <c r="K43" s="8">
        <f t="shared" si="1"/>
        <v>0.0602</v>
      </c>
      <c r="L43" s="9" t="b">
        <v>0</v>
      </c>
      <c r="M43" s="10"/>
    </row>
    <row r="44" ht="17.75" spans="1:13">
      <c r="A44" s="5" t="s">
        <v>23</v>
      </c>
      <c r="B44" s="5" t="s">
        <v>24</v>
      </c>
      <c r="C44" s="6">
        <v>2022</v>
      </c>
      <c r="D44" s="6">
        <v>2</v>
      </c>
      <c r="E44" s="10"/>
      <c r="F44" s="6">
        <v>41.1</v>
      </c>
      <c r="G44" s="6">
        <v>28.5</v>
      </c>
      <c r="H44" s="7">
        <v>0.0702</v>
      </c>
      <c r="I44" s="7">
        <v>0.0487</v>
      </c>
      <c r="J44" s="8">
        <v>0.0284</v>
      </c>
      <c r="K44" s="8">
        <f t="shared" si="1"/>
        <v>0.0418</v>
      </c>
      <c r="L44" s="9" t="b">
        <v>0</v>
      </c>
      <c r="M44" s="10"/>
    </row>
    <row r="45" ht="17.75" spans="1:13">
      <c r="A45" s="5" t="s">
        <v>23</v>
      </c>
      <c r="B45" s="5" t="s">
        <v>24</v>
      </c>
      <c r="C45" s="6">
        <v>2023</v>
      </c>
      <c r="D45" s="6">
        <v>2.4</v>
      </c>
      <c r="E45" s="10"/>
      <c r="F45" s="6">
        <v>42.6</v>
      </c>
      <c r="G45" s="6">
        <v>30.8</v>
      </c>
      <c r="H45" s="7">
        <v>0.0779</v>
      </c>
      <c r="I45" s="7">
        <v>0.0563</v>
      </c>
      <c r="J45" s="8">
        <v>0.0257</v>
      </c>
      <c r="K45" s="8">
        <f t="shared" si="1"/>
        <v>0.0522</v>
      </c>
      <c r="L45" s="9" t="b">
        <v>0</v>
      </c>
      <c r="M45" s="10"/>
    </row>
    <row r="46" ht="17.75" spans="1:13">
      <c r="A46" s="5" t="s">
        <v>23</v>
      </c>
      <c r="B46" s="5" t="s">
        <v>24</v>
      </c>
      <c r="C46" s="6">
        <v>2024</v>
      </c>
      <c r="D46" s="6">
        <v>2.5</v>
      </c>
      <c r="E46" s="10"/>
      <c r="F46" s="6">
        <v>52.7</v>
      </c>
      <c r="G46" s="6">
        <v>31.5</v>
      </c>
      <c r="H46" s="7">
        <v>0.0794</v>
      </c>
      <c r="I46" s="7">
        <v>0.0474</v>
      </c>
      <c r="J46" s="8">
        <v>0.0168</v>
      </c>
      <c r="K46" s="8">
        <f t="shared" si="1"/>
        <v>0.0626</v>
      </c>
      <c r="L46" s="9" t="b">
        <v>0</v>
      </c>
      <c r="M46" s="10"/>
    </row>
    <row r="47" ht="17.75" spans="1:13">
      <c r="A47" s="5" t="s">
        <v>23</v>
      </c>
      <c r="B47" s="5" t="s">
        <v>24</v>
      </c>
      <c r="C47" s="6">
        <v>2025</v>
      </c>
      <c r="D47" s="6">
        <v>2.5</v>
      </c>
      <c r="E47" s="10"/>
      <c r="F47" s="6">
        <v>47.8</v>
      </c>
      <c r="G47" s="6">
        <v>40.4</v>
      </c>
      <c r="H47" s="7">
        <v>0.0619</v>
      </c>
      <c r="I47" s="7">
        <v>0.0523</v>
      </c>
      <c r="J47" s="8">
        <v>0.0185</v>
      </c>
      <c r="K47" s="8">
        <f t="shared" si="1"/>
        <v>0.0434</v>
      </c>
      <c r="L47" s="9" t="b">
        <v>0</v>
      </c>
      <c r="M47" s="10"/>
    </row>
    <row r="48" ht="17.75" spans="1:13">
      <c r="A48" s="5" t="s">
        <v>25</v>
      </c>
      <c r="B48" s="5" t="s">
        <v>26</v>
      </c>
      <c r="C48" s="6">
        <v>2018</v>
      </c>
      <c r="D48" s="6">
        <v>0.17</v>
      </c>
      <c r="E48" s="10"/>
      <c r="F48" s="6">
        <v>4.82</v>
      </c>
      <c r="G48" s="6">
        <v>3.25</v>
      </c>
      <c r="H48" s="7">
        <v>0.0523</v>
      </c>
      <c r="I48" s="7">
        <v>0.0353</v>
      </c>
      <c r="J48" s="8">
        <v>0.0323</v>
      </c>
      <c r="K48" s="8">
        <f t="shared" si="1"/>
        <v>0.02</v>
      </c>
      <c r="L48" s="9" t="b">
        <v>0</v>
      </c>
      <c r="M48" s="10"/>
    </row>
    <row r="49" ht="17.75" spans="1:13">
      <c r="A49" s="5" t="s">
        <v>25</v>
      </c>
      <c r="B49" s="5" t="s">
        <v>26</v>
      </c>
      <c r="C49" s="6">
        <v>2019</v>
      </c>
      <c r="D49" s="6">
        <v>0.18</v>
      </c>
      <c r="E49" s="10"/>
      <c r="F49" s="6">
        <v>3.94</v>
      </c>
      <c r="G49" s="6">
        <v>3.38</v>
      </c>
      <c r="H49" s="7">
        <v>0.0533</v>
      </c>
      <c r="I49" s="7">
        <v>0.0457</v>
      </c>
      <c r="J49" s="8">
        <v>0.0314</v>
      </c>
      <c r="K49" s="8">
        <f t="shared" si="1"/>
        <v>0.0219</v>
      </c>
      <c r="L49" s="9" t="b">
        <v>0</v>
      </c>
      <c r="M49" s="10"/>
    </row>
    <row r="50" ht="17.75" spans="1:13">
      <c r="A50" s="5" t="s">
        <v>25</v>
      </c>
      <c r="B50" s="5" t="s">
        <v>26</v>
      </c>
      <c r="C50" s="6">
        <v>2020</v>
      </c>
      <c r="D50" s="6">
        <v>0.19</v>
      </c>
      <c r="E50" s="10"/>
      <c r="F50" s="6">
        <v>3.86</v>
      </c>
      <c r="G50" s="6">
        <v>3.12</v>
      </c>
      <c r="H50" s="7">
        <v>0.0609</v>
      </c>
      <c r="I50" s="7">
        <v>0.0492</v>
      </c>
      <c r="J50" s="8">
        <v>0.0317</v>
      </c>
      <c r="K50" s="8">
        <f t="shared" si="1"/>
        <v>0.0292</v>
      </c>
      <c r="L50" s="9" t="b">
        <v>0</v>
      </c>
      <c r="M50" s="10"/>
    </row>
    <row r="51" ht="17.75" spans="1:13">
      <c r="A51" s="5" t="s">
        <v>25</v>
      </c>
      <c r="B51" s="5" t="s">
        <v>26</v>
      </c>
      <c r="C51" s="6">
        <v>2021</v>
      </c>
      <c r="D51" s="6">
        <v>0.21</v>
      </c>
      <c r="E51" s="10"/>
      <c r="F51" s="6">
        <v>3.44</v>
      </c>
      <c r="G51" s="6">
        <v>2.9</v>
      </c>
      <c r="H51" s="7">
        <v>0.0724</v>
      </c>
      <c r="I51" s="7">
        <v>0.061</v>
      </c>
      <c r="J51" s="8">
        <v>0.0278</v>
      </c>
      <c r="K51" s="8">
        <f t="shared" si="1"/>
        <v>0.0446</v>
      </c>
      <c r="L51" s="9" t="b">
        <v>0</v>
      </c>
      <c r="M51" s="10"/>
    </row>
    <row r="52" ht="17.75" spans="1:13">
      <c r="A52" s="5" t="s">
        <v>25</v>
      </c>
      <c r="B52" s="5" t="s">
        <v>26</v>
      </c>
      <c r="C52" s="6">
        <v>2022</v>
      </c>
      <c r="D52" s="6">
        <v>0.22</v>
      </c>
      <c r="E52" s="10"/>
      <c r="F52" s="6">
        <v>3.11</v>
      </c>
      <c r="G52" s="6">
        <v>2.71</v>
      </c>
      <c r="H52" s="7">
        <v>0.0812</v>
      </c>
      <c r="I52" s="7">
        <v>0.0707</v>
      </c>
      <c r="J52" s="8">
        <v>0.0284</v>
      </c>
      <c r="K52" s="8">
        <f t="shared" si="1"/>
        <v>0.0528</v>
      </c>
      <c r="L52" s="9" t="b">
        <v>0</v>
      </c>
      <c r="M52" s="10"/>
    </row>
    <row r="53" ht="17.75" spans="1:13">
      <c r="A53" s="5" t="s">
        <v>25</v>
      </c>
      <c r="B53" s="5" t="s">
        <v>26</v>
      </c>
      <c r="C53" s="6">
        <v>2023</v>
      </c>
      <c r="D53" s="6">
        <v>0.23</v>
      </c>
      <c r="E53" s="10"/>
      <c r="F53" s="6">
        <v>3.97</v>
      </c>
      <c r="G53" s="6">
        <v>2.89</v>
      </c>
      <c r="H53" s="7">
        <v>0.0796</v>
      </c>
      <c r="I53" s="7">
        <v>0.0579</v>
      </c>
      <c r="J53" s="8">
        <v>0.0257</v>
      </c>
      <c r="K53" s="8">
        <f t="shared" si="1"/>
        <v>0.0539</v>
      </c>
      <c r="L53" s="9" t="b">
        <v>0</v>
      </c>
      <c r="M53" s="10"/>
    </row>
    <row r="54" ht="17.75" spans="1:13">
      <c r="A54" s="5" t="s">
        <v>25</v>
      </c>
      <c r="B54" s="5" t="s">
        <v>26</v>
      </c>
      <c r="C54" s="6">
        <v>2024</v>
      </c>
      <c r="D54" s="6">
        <v>0.24</v>
      </c>
      <c r="E54" s="10"/>
      <c r="F54" s="6">
        <v>5.44</v>
      </c>
      <c r="G54" s="6">
        <v>3.58</v>
      </c>
      <c r="H54" s="7">
        <v>0.067</v>
      </c>
      <c r="I54" s="7">
        <v>0.0441</v>
      </c>
      <c r="J54" s="8">
        <v>0.0168</v>
      </c>
      <c r="K54" s="8">
        <f t="shared" si="1"/>
        <v>0.0502</v>
      </c>
      <c r="L54" s="9" t="b">
        <v>0</v>
      </c>
      <c r="M54" s="10"/>
    </row>
    <row r="55" ht="17.75" spans="1:13">
      <c r="A55" s="5" t="s">
        <v>25</v>
      </c>
      <c r="B55" s="5" t="s">
        <v>26</v>
      </c>
      <c r="C55" s="6">
        <v>2025</v>
      </c>
      <c r="D55" s="6">
        <v>0.24</v>
      </c>
      <c r="E55" s="10"/>
      <c r="F55" s="6">
        <v>8.25</v>
      </c>
      <c r="G55" s="6">
        <v>4.9</v>
      </c>
      <c r="H55" s="7">
        <v>0.049</v>
      </c>
      <c r="I55" s="7">
        <v>0.0291</v>
      </c>
      <c r="J55" s="8">
        <v>0.0185</v>
      </c>
      <c r="K55" s="8">
        <f t="shared" si="1"/>
        <v>0.0305</v>
      </c>
      <c r="L55" s="9" t="b">
        <v>0</v>
      </c>
      <c r="M55" s="10"/>
    </row>
    <row r="56" ht="17.75" spans="1:13">
      <c r="A56" s="5" t="s">
        <v>27</v>
      </c>
      <c r="B56" s="5" t="s">
        <v>28</v>
      </c>
      <c r="C56" s="6">
        <v>2018</v>
      </c>
      <c r="D56" s="6">
        <v>0.23</v>
      </c>
      <c r="E56" s="7">
        <v>0.35</v>
      </c>
      <c r="F56" s="6">
        <v>8.1</v>
      </c>
      <c r="G56" s="6">
        <v>6.5</v>
      </c>
      <c r="H56" s="7">
        <v>0.0354</v>
      </c>
      <c r="I56" s="7">
        <v>0.0284</v>
      </c>
      <c r="J56" s="8">
        <v>0.0323</v>
      </c>
      <c r="K56" s="8">
        <f t="shared" si="1"/>
        <v>0.0031</v>
      </c>
      <c r="L56" s="8" t="b">
        <v>1</v>
      </c>
      <c r="M56" s="10"/>
    </row>
    <row r="57" ht="17.75" spans="1:13">
      <c r="A57" s="5" t="s">
        <v>27</v>
      </c>
      <c r="B57" s="5" t="s">
        <v>28</v>
      </c>
      <c r="C57" s="6">
        <v>2019</v>
      </c>
      <c r="D57" s="6">
        <v>0.25</v>
      </c>
      <c r="E57" s="7">
        <v>0.35</v>
      </c>
      <c r="F57" s="6">
        <v>10</v>
      </c>
      <c r="G57" s="6">
        <v>7.2</v>
      </c>
      <c r="H57" s="7">
        <v>0.0347</v>
      </c>
      <c r="I57" s="7">
        <v>0.025</v>
      </c>
      <c r="J57" s="8">
        <v>0.0314</v>
      </c>
      <c r="K57" s="8">
        <f t="shared" si="1"/>
        <v>0.0033</v>
      </c>
      <c r="L57" s="8" t="b">
        <v>1</v>
      </c>
      <c r="M57" s="10"/>
    </row>
    <row r="58" ht="17.75" spans="1:13">
      <c r="A58" s="5" t="s">
        <v>27</v>
      </c>
      <c r="B58" s="5" t="s">
        <v>28</v>
      </c>
      <c r="C58" s="6">
        <v>2020</v>
      </c>
      <c r="D58" s="6">
        <v>0.28</v>
      </c>
      <c r="E58" s="7">
        <v>0.354</v>
      </c>
      <c r="F58" s="6">
        <v>10</v>
      </c>
      <c r="G58" s="6">
        <v>7.3</v>
      </c>
      <c r="H58" s="7">
        <v>0.0384</v>
      </c>
      <c r="I58" s="7">
        <v>0.028</v>
      </c>
      <c r="J58" s="8">
        <v>0.0317</v>
      </c>
      <c r="K58" s="8">
        <f t="shared" si="1"/>
        <v>0.0067</v>
      </c>
      <c r="L58" s="8" t="b">
        <v>1</v>
      </c>
      <c r="M58" s="10"/>
    </row>
    <row r="59" ht="17.75" spans="1:13">
      <c r="A59" s="5" t="s">
        <v>27</v>
      </c>
      <c r="B59" s="5" t="s">
        <v>28</v>
      </c>
      <c r="C59" s="6">
        <v>2021</v>
      </c>
      <c r="D59" s="6">
        <v>0.16</v>
      </c>
      <c r="E59" s="7">
        <v>0.496</v>
      </c>
      <c r="F59" s="6">
        <v>13</v>
      </c>
      <c r="G59" s="6">
        <v>8.1</v>
      </c>
      <c r="H59" s="7">
        <v>0.0198</v>
      </c>
      <c r="I59" s="7">
        <v>0.0123</v>
      </c>
      <c r="J59" s="8">
        <v>0.0278</v>
      </c>
      <c r="K59" s="8">
        <f t="shared" ref="K59:K90" si="2">H59-J59</f>
        <v>-0.008</v>
      </c>
      <c r="L59" s="8" t="b">
        <v>1</v>
      </c>
      <c r="M59" s="10"/>
    </row>
    <row r="60" ht="17.75" spans="1:13">
      <c r="A60" s="5" t="s">
        <v>27</v>
      </c>
      <c r="B60" s="5" t="s">
        <v>28</v>
      </c>
      <c r="C60" s="6">
        <v>2022</v>
      </c>
      <c r="D60" s="6">
        <v>0.28</v>
      </c>
      <c r="E60" s="7">
        <v>0.502</v>
      </c>
      <c r="F60" s="6">
        <v>11.8</v>
      </c>
      <c r="G60" s="6">
        <v>9</v>
      </c>
      <c r="H60" s="7">
        <v>0.0311</v>
      </c>
      <c r="I60" s="7">
        <v>0.0237</v>
      </c>
      <c r="J60" s="8">
        <v>0.0284</v>
      </c>
      <c r="K60" s="8">
        <f t="shared" si="2"/>
        <v>0.0027</v>
      </c>
      <c r="L60" s="8" t="b">
        <v>1</v>
      </c>
      <c r="M60" s="10"/>
    </row>
    <row r="61" ht="17.75" spans="1:13">
      <c r="A61" s="5" t="s">
        <v>27</v>
      </c>
      <c r="B61" s="5" t="s">
        <v>28</v>
      </c>
      <c r="C61" s="6">
        <v>2023</v>
      </c>
      <c r="D61" s="6">
        <v>0.49</v>
      </c>
      <c r="E61" s="7">
        <v>0.55</v>
      </c>
      <c r="F61" s="6">
        <v>13.7</v>
      </c>
      <c r="G61" s="6">
        <v>10.4</v>
      </c>
      <c r="H61" s="7">
        <v>0.0471</v>
      </c>
      <c r="I61" s="7">
        <v>0.0358</v>
      </c>
      <c r="J61" s="8">
        <v>0.0257</v>
      </c>
      <c r="K61" s="8">
        <f t="shared" si="2"/>
        <v>0.0214</v>
      </c>
      <c r="L61" s="8" t="b">
        <v>1</v>
      </c>
      <c r="M61" s="10"/>
    </row>
    <row r="62" ht="17.75" spans="1:13">
      <c r="A62" s="5" t="s">
        <v>27</v>
      </c>
      <c r="B62" s="5" t="s">
        <v>28</v>
      </c>
      <c r="C62" s="6">
        <v>2024</v>
      </c>
      <c r="D62" s="6">
        <v>0.46</v>
      </c>
      <c r="E62" s="7">
        <v>0.55</v>
      </c>
      <c r="F62" s="6">
        <v>19.2</v>
      </c>
      <c r="G62" s="6">
        <v>12.5</v>
      </c>
      <c r="H62" s="7">
        <v>0.0368</v>
      </c>
      <c r="I62" s="7">
        <v>0.024</v>
      </c>
      <c r="J62" s="8">
        <v>0.0168</v>
      </c>
      <c r="K62" s="8">
        <f t="shared" si="2"/>
        <v>0.02</v>
      </c>
      <c r="L62" s="8" t="b">
        <v>1</v>
      </c>
      <c r="M62" s="10"/>
    </row>
    <row r="63" ht="17.75" spans="1:13">
      <c r="A63" s="5" t="s">
        <v>27</v>
      </c>
      <c r="B63" s="5" t="s">
        <v>28</v>
      </c>
      <c r="C63" s="6">
        <v>2025</v>
      </c>
      <c r="D63" s="6">
        <v>0.5</v>
      </c>
      <c r="E63" s="7">
        <v>0.6</v>
      </c>
      <c r="F63" s="6">
        <v>16.7</v>
      </c>
      <c r="G63" s="6">
        <v>12.7</v>
      </c>
      <c r="H63" s="7">
        <v>0.0394</v>
      </c>
      <c r="I63" s="7">
        <v>0.0299</v>
      </c>
      <c r="J63" s="8">
        <v>0.0185</v>
      </c>
      <c r="K63" s="8">
        <f t="shared" si="2"/>
        <v>0.0209</v>
      </c>
      <c r="L63" s="8" t="b">
        <v>1</v>
      </c>
      <c r="M63" s="10"/>
    </row>
    <row r="64" ht="17.75" spans="1:13">
      <c r="A64" s="5" t="s">
        <v>29</v>
      </c>
      <c r="B64" s="5" t="s">
        <v>30</v>
      </c>
      <c r="C64" s="6">
        <v>2017</v>
      </c>
      <c r="D64" s="6">
        <v>1.5</v>
      </c>
      <c r="E64" s="10"/>
      <c r="F64" s="6">
        <v>80</v>
      </c>
      <c r="G64" s="6">
        <v>34.9</v>
      </c>
      <c r="H64" s="7">
        <v>0.043</v>
      </c>
      <c r="I64" s="7">
        <v>0.0188</v>
      </c>
      <c r="J64" s="8">
        <v>0.0388</v>
      </c>
      <c r="K64" s="8">
        <f t="shared" si="2"/>
        <v>0.0042</v>
      </c>
      <c r="L64" s="9" t="b">
        <v>0</v>
      </c>
      <c r="M64" s="10"/>
    </row>
    <row r="65" ht="17.75" spans="1:13">
      <c r="A65" s="5" t="s">
        <v>29</v>
      </c>
      <c r="B65" s="5" t="s">
        <v>30</v>
      </c>
      <c r="C65" s="6">
        <v>2018</v>
      </c>
      <c r="D65" s="6">
        <v>1.7</v>
      </c>
      <c r="E65" s="10"/>
      <c r="F65" s="6">
        <v>81.3</v>
      </c>
      <c r="G65" s="6">
        <v>54.3</v>
      </c>
      <c r="H65" s="7">
        <v>0.0317</v>
      </c>
      <c r="I65" s="7">
        <v>0.0212</v>
      </c>
      <c r="J65" s="8">
        <v>0.0323</v>
      </c>
      <c r="K65" s="8">
        <f t="shared" si="2"/>
        <v>-0.000600000000000003</v>
      </c>
      <c r="L65" s="9" t="b">
        <v>0</v>
      </c>
      <c r="M65" s="10"/>
    </row>
    <row r="66" ht="17.75" spans="1:13">
      <c r="A66" s="5" t="s">
        <v>29</v>
      </c>
      <c r="B66" s="5" t="s">
        <v>30</v>
      </c>
      <c r="C66" s="6">
        <v>2019</v>
      </c>
      <c r="D66" s="6">
        <v>2.1</v>
      </c>
      <c r="E66" s="10"/>
      <c r="F66" s="6">
        <v>92.5</v>
      </c>
      <c r="G66" s="6">
        <v>54.9</v>
      </c>
      <c r="H66" s="7">
        <v>0.0373</v>
      </c>
      <c r="I66" s="7">
        <v>0.0222</v>
      </c>
      <c r="J66" s="8">
        <v>0.0314</v>
      </c>
      <c r="K66" s="8">
        <f t="shared" si="2"/>
        <v>0.0059</v>
      </c>
      <c r="L66" s="9" t="b">
        <v>0</v>
      </c>
      <c r="M66" s="10"/>
    </row>
    <row r="67" ht="17.75" spans="1:13">
      <c r="A67" s="5" t="s">
        <v>29</v>
      </c>
      <c r="B67" s="5" t="s">
        <v>30</v>
      </c>
      <c r="C67" s="6">
        <v>2020</v>
      </c>
      <c r="D67" s="6">
        <v>2.2</v>
      </c>
      <c r="E67" s="10"/>
      <c r="F67" s="6">
        <v>94.6</v>
      </c>
      <c r="G67" s="6">
        <v>66</v>
      </c>
      <c r="H67" s="7">
        <v>0.0333</v>
      </c>
      <c r="I67" s="7">
        <v>0.0233</v>
      </c>
      <c r="J67" s="8">
        <v>0.0317</v>
      </c>
      <c r="K67" s="8">
        <f t="shared" si="2"/>
        <v>0.0016</v>
      </c>
      <c r="L67" s="9" t="b">
        <v>0</v>
      </c>
      <c r="M67" s="10"/>
    </row>
    <row r="68" ht="17.75" spans="1:13">
      <c r="A68" s="5" t="s">
        <v>29</v>
      </c>
      <c r="B68" s="5" t="s">
        <v>30</v>
      </c>
      <c r="C68" s="6">
        <v>2021</v>
      </c>
      <c r="D68" s="6">
        <v>2.4</v>
      </c>
      <c r="E68" s="10"/>
      <c r="F68" s="6">
        <v>89.3</v>
      </c>
      <c r="G68" s="6">
        <v>47.3</v>
      </c>
      <c r="H68" s="7">
        <v>0.0503</v>
      </c>
      <c r="I68" s="7">
        <v>0.0267</v>
      </c>
      <c r="J68" s="8">
        <v>0.0278</v>
      </c>
      <c r="K68" s="8">
        <f t="shared" si="2"/>
        <v>0.0225</v>
      </c>
      <c r="L68" s="9" t="b">
        <v>0</v>
      </c>
      <c r="M68" s="10"/>
    </row>
    <row r="69" ht="17.75" spans="1:13">
      <c r="A69" s="5" t="s">
        <v>29</v>
      </c>
      <c r="B69" s="5" t="s">
        <v>30</v>
      </c>
      <c r="C69" s="6">
        <v>2022</v>
      </c>
      <c r="D69" s="6">
        <v>2.4</v>
      </c>
      <c r="E69" s="10"/>
      <c r="F69" s="6">
        <v>56.2</v>
      </c>
      <c r="G69" s="6">
        <v>35.9</v>
      </c>
      <c r="H69" s="7">
        <v>0.0674</v>
      </c>
      <c r="I69" s="7">
        <v>0.0431</v>
      </c>
      <c r="J69" s="8">
        <v>0.0284</v>
      </c>
      <c r="K69" s="8">
        <f t="shared" si="2"/>
        <v>0.039</v>
      </c>
      <c r="L69" s="9" t="b">
        <v>0</v>
      </c>
      <c r="M69" s="10"/>
    </row>
    <row r="70" ht="17.75" spans="1:13">
      <c r="A70" s="5" t="s">
        <v>29</v>
      </c>
      <c r="B70" s="5" t="s">
        <v>30</v>
      </c>
      <c r="C70" s="6">
        <v>2023</v>
      </c>
      <c r="D70" s="6">
        <v>2.4</v>
      </c>
      <c r="E70" s="10"/>
      <c r="F70" s="6">
        <v>56</v>
      </c>
      <c r="G70" s="6">
        <v>38.1</v>
      </c>
      <c r="H70" s="7">
        <v>0.0638</v>
      </c>
      <c r="I70" s="7">
        <v>0.0434</v>
      </c>
      <c r="J70" s="8">
        <v>0.0257</v>
      </c>
      <c r="K70" s="8">
        <f t="shared" si="2"/>
        <v>0.0381</v>
      </c>
      <c r="L70" s="9" t="b">
        <v>0</v>
      </c>
      <c r="M70" s="10"/>
    </row>
    <row r="71" ht="17.75" spans="1:13">
      <c r="A71" s="5" t="s">
        <v>29</v>
      </c>
      <c r="B71" s="5" t="s">
        <v>30</v>
      </c>
      <c r="C71" s="6">
        <v>2024</v>
      </c>
      <c r="D71" s="6">
        <v>2.6</v>
      </c>
      <c r="E71" s="10"/>
      <c r="F71" s="6">
        <v>62.8</v>
      </c>
      <c r="G71" s="6">
        <v>37.6</v>
      </c>
      <c r="H71" s="7">
        <v>0.0678</v>
      </c>
      <c r="I71" s="7">
        <v>0.0406</v>
      </c>
      <c r="J71" s="8">
        <v>0.0168</v>
      </c>
      <c r="K71" s="8">
        <f t="shared" si="2"/>
        <v>0.051</v>
      </c>
      <c r="L71" s="9" t="b">
        <v>0</v>
      </c>
      <c r="M71" s="10"/>
    </row>
    <row r="72" ht="17.75" spans="1:13">
      <c r="A72" s="5" t="s">
        <v>29</v>
      </c>
      <c r="B72" s="5" t="s">
        <v>30</v>
      </c>
      <c r="C72" s="6">
        <v>2025</v>
      </c>
      <c r="D72" s="6">
        <v>2.7</v>
      </c>
      <c r="E72" s="10"/>
      <c r="F72" s="6">
        <v>68.6</v>
      </c>
      <c r="G72" s="6">
        <v>47</v>
      </c>
      <c r="H72" s="7">
        <v>0.0568</v>
      </c>
      <c r="I72" s="7">
        <v>0.0389</v>
      </c>
      <c r="J72" s="8">
        <v>0.0185</v>
      </c>
      <c r="K72" s="8">
        <f t="shared" si="2"/>
        <v>0.0383</v>
      </c>
      <c r="L72" s="9" t="b">
        <v>0</v>
      </c>
      <c r="M72" s="10"/>
    </row>
    <row r="73" ht="17.75" spans="1:13">
      <c r="A73" s="5" t="s">
        <v>31</v>
      </c>
      <c r="B73" s="5" t="s">
        <v>32</v>
      </c>
      <c r="C73" s="6">
        <v>2021</v>
      </c>
      <c r="D73" s="6">
        <v>0.87</v>
      </c>
      <c r="E73" s="7">
        <v>0.16</v>
      </c>
      <c r="F73" s="6">
        <v>33.4</v>
      </c>
      <c r="G73" s="6">
        <v>9.6</v>
      </c>
      <c r="H73" s="7">
        <v>0.0906</v>
      </c>
      <c r="I73" s="7">
        <v>0.026</v>
      </c>
      <c r="J73" s="8">
        <v>0.0278</v>
      </c>
      <c r="K73" s="8">
        <f t="shared" si="2"/>
        <v>0.0628</v>
      </c>
      <c r="L73" s="9" t="b">
        <v>0</v>
      </c>
      <c r="M73" s="10"/>
    </row>
    <row r="74" ht="17.75" spans="1:13">
      <c r="A74" s="5" t="s">
        <v>31</v>
      </c>
      <c r="B74" s="5" t="s">
        <v>32</v>
      </c>
      <c r="C74" s="6">
        <v>2022</v>
      </c>
      <c r="D74" s="6">
        <v>3.4</v>
      </c>
      <c r="E74" s="7">
        <v>0.5</v>
      </c>
      <c r="F74" s="6">
        <v>19.9</v>
      </c>
      <c r="G74" s="6">
        <v>10.1</v>
      </c>
      <c r="H74" s="7">
        <v>0.3366</v>
      </c>
      <c r="I74" s="7">
        <v>0.1709</v>
      </c>
      <c r="J74" s="8">
        <v>0.0284</v>
      </c>
      <c r="K74" s="8">
        <f t="shared" si="2"/>
        <v>0.3082</v>
      </c>
      <c r="L74" s="9" t="b">
        <v>0</v>
      </c>
      <c r="M74" s="10"/>
    </row>
    <row r="75" ht="17.75" spans="1:13">
      <c r="A75" s="5" t="s">
        <v>31</v>
      </c>
      <c r="B75" s="5" t="s">
        <v>32</v>
      </c>
      <c r="C75" s="6">
        <v>2023</v>
      </c>
      <c r="D75" s="6">
        <v>0.74</v>
      </c>
      <c r="E75" s="7">
        <v>0.498</v>
      </c>
      <c r="F75" s="6">
        <v>11.7</v>
      </c>
      <c r="G75" s="6">
        <v>9.3</v>
      </c>
      <c r="H75" s="7">
        <v>0.0796</v>
      </c>
      <c r="I75" s="7">
        <v>0.0632</v>
      </c>
      <c r="J75" s="8">
        <v>0.0257</v>
      </c>
      <c r="K75" s="8">
        <f t="shared" si="2"/>
        <v>0.0539</v>
      </c>
      <c r="L75" s="9" t="b">
        <v>0</v>
      </c>
      <c r="M75" s="10"/>
    </row>
    <row r="76" ht="17.75" spans="1:13">
      <c r="A76" s="5" t="s">
        <v>31</v>
      </c>
      <c r="B76" s="5" t="s">
        <v>32</v>
      </c>
      <c r="C76" s="6">
        <v>2024</v>
      </c>
      <c r="D76" s="6">
        <v>1.55</v>
      </c>
      <c r="E76" s="7">
        <v>0.497</v>
      </c>
      <c r="F76" s="6">
        <v>17.6</v>
      </c>
      <c r="G76" s="6">
        <v>9.2</v>
      </c>
      <c r="H76" s="7">
        <v>0.1685</v>
      </c>
      <c r="I76" s="7">
        <v>0.0881</v>
      </c>
      <c r="J76" s="8">
        <v>0.0168</v>
      </c>
      <c r="K76" s="8">
        <f t="shared" si="2"/>
        <v>0.1517</v>
      </c>
      <c r="L76" s="9" t="b">
        <v>0</v>
      </c>
      <c r="M76" s="10"/>
    </row>
    <row r="77" ht="17.75" spans="1:13">
      <c r="A77" s="5" t="s">
        <v>31</v>
      </c>
      <c r="B77" s="5" t="s">
        <v>32</v>
      </c>
      <c r="C77" s="6">
        <v>2025</v>
      </c>
      <c r="D77" s="6">
        <v>0.9</v>
      </c>
      <c r="E77" s="7">
        <v>0.5</v>
      </c>
      <c r="F77" s="6">
        <v>16.9</v>
      </c>
      <c r="G77" s="6">
        <v>12.7</v>
      </c>
      <c r="H77" s="7">
        <v>0.0709</v>
      </c>
      <c r="I77" s="7">
        <v>0.0533</v>
      </c>
      <c r="J77" s="8">
        <v>0.0185</v>
      </c>
      <c r="K77" s="8">
        <f t="shared" si="2"/>
        <v>0.0524</v>
      </c>
      <c r="L77" s="9" t="b">
        <v>0</v>
      </c>
      <c r="M77" s="10"/>
    </row>
    <row r="78" ht="17.75" spans="1:13">
      <c r="A78" s="5" t="s">
        <v>33</v>
      </c>
      <c r="B78" s="5" t="s">
        <v>34</v>
      </c>
      <c r="C78" s="6">
        <v>2018</v>
      </c>
      <c r="D78" s="6">
        <v>0.7</v>
      </c>
      <c r="E78" s="7">
        <v>0.661</v>
      </c>
      <c r="F78" s="6">
        <v>35.9</v>
      </c>
      <c r="G78" s="6">
        <v>20.6</v>
      </c>
      <c r="H78" s="7">
        <v>0.034</v>
      </c>
      <c r="I78" s="7">
        <v>0.0195</v>
      </c>
      <c r="J78" s="8">
        <v>0.0323</v>
      </c>
      <c r="K78" s="8">
        <f t="shared" si="2"/>
        <v>0.0017</v>
      </c>
      <c r="L78" s="9" t="b">
        <v>0</v>
      </c>
      <c r="M78" s="10"/>
    </row>
    <row r="79" ht="17.75" spans="1:13">
      <c r="A79" s="5" t="s">
        <v>33</v>
      </c>
      <c r="B79" s="5" t="s">
        <v>34</v>
      </c>
      <c r="C79" s="6">
        <v>2019</v>
      </c>
      <c r="D79" s="6">
        <v>0.81</v>
      </c>
      <c r="E79" s="7">
        <v>0.709</v>
      </c>
      <c r="F79" s="6">
        <v>34.7</v>
      </c>
      <c r="G79" s="6">
        <v>22.2</v>
      </c>
      <c r="H79" s="7">
        <v>0.0365</v>
      </c>
      <c r="I79" s="7">
        <v>0.0233</v>
      </c>
      <c r="J79" s="8">
        <v>0.0314</v>
      </c>
      <c r="K79" s="8">
        <f t="shared" si="2"/>
        <v>0.0051</v>
      </c>
      <c r="L79" s="9" t="b">
        <v>0</v>
      </c>
      <c r="M79" s="10"/>
    </row>
    <row r="80" ht="17.75" spans="1:13">
      <c r="A80" s="5" t="s">
        <v>33</v>
      </c>
      <c r="B80" s="5" t="s">
        <v>34</v>
      </c>
      <c r="C80" s="6">
        <v>2020</v>
      </c>
      <c r="D80" s="6">
        <v>0.82</v>
      </c>
      <c r="E80" s="7">
        <v>0.706</v>
      </c>
      <c r="F80" s="6">
        <v>45</v>
      </c>
      <c r="G80" s="6">
        <v>26.9</v>
      </c>
      <c r="H80" s="7">
        <v>0.0305</v>
      </c>
      <c r="I80" s="7">
        <v>0.0182</v>
      </c>
      <c r="J80" s="8">
        <v>0.0317</v>
      </c>
      <c r="K80" s="8">
        <f t="shared" si="2"/>
        <v>-0.0012</v>
      </c>
      <c r="L80" s="9" t="b">
        <v>0</v>
      </c>
      <c r="M80" s="10"/>
    </row>
    <row r="81" ht="17.75" spans="1:13">
      <c r="A81" s="5" t="s">
        <v>33</v>
      </c>
      <c r="B81" s="5" t="s">
        <v>34</v>
      </c>
      <c r="C81" s="6">
        <v>2021</v>
      </c>
      <c r="D81" s="6">
        <v>0.96</v>
      </c>
      <c r="E81" s="7">
        <v>0.702</v>
      </c>
      <c r="F81" s="6">
        <v>51.9</v>
      </c>
      <c r="G81" s="6">
        <v>30.9</v>
      </c>
      <c r="H81" s="7">
        <v>0.0311</v>
      </c>
      <c r="I81" s="7">
        <v>0.0185</v>
      </c>
      <c r="J81" s="8">
        <v>0.0278</v>
      </c>
      <c r="K81" s="8">
        <f t="shared" si="2"/>
        <v>0.0033</v>
      </c>
      <c r="L81" s="9" t="b">
        <v>0</v>
      </c>
      <c r="M81" s="10"/>
    </row>
    <row r="82" ht="17.75" spans="1:13">
      <c r="A82" s="5" t="s">
        <v>33</v>
      </c>
      <c r="B82" s="5" t="s">
        <v>34</v>
      </c>
      <c r="C82" s="6">
        <v>2022</v>
      </c>
      <c r="D82" s="6">
        <v>1.04</v>
      </c>
      <c r="E82" s="7">
        <v>0.702</v>
      </c>
      <c r="F82" s="6">
        <v>42.1</v>
      </c>
      <c r="G82" s="6">
        <v>24.5</v>
      </c>
      <c r="H82" s="7">
        <v>0.0424</v>
      </c>
      <c r="I82" s="7">
        <v>0.0247</v>
      </c>
      <c r="J82" s="8">
        <v>0.0284</v>
      </c>
      <c r="K82" s="8">
        <f t="shared" si="2"/>
        <v>0.014</v>
      </c>
      <c r="L82" s="9" t="b">
        <v>0</v>
      </c>
      <c r="M82" s="10"/>
    </row>
    <row r="83" ht="17.75" spans="1:13">
      <c r="A83" s="5" t="s">
        <v>33</v>
      </c>
      <c r="B83" s="5" t="s">
        <v>34</v>
      </c>
      <c r="C83" s="6">
        <v>2023</v>
      </c>
      <c r="D83" s="6">
        <v>1.2</v>
      </c>
      <c r="E83" s="7">
        <v>0.733</v>
      </c>
      <c r="F83" s="6">
        <v>33.8</v>
      </c>
      <c r="G83" s="6">
        <v>25.2</v>
      </c>
      <c r="H83" s="7">
        <v>0.0476</v>
      </c>
      <c r="I83" s="7">
        <v>0.0355</v>
      </c>
      <c r="J83" s="8">
        <v>0.0257</v>
      </c>
      <c r="K83" s="8">
        <f t="shared" si="2"/>
        <v>0.0219</v>
      </c>
      <c r="L83" s="9" t="b">
        <v>0</v>
      </c>
      <c r="M83" s="10"/>
    </row>
    <row r="84" ht="17.75" spans="1:13">
      <c r="A84" s="5" t="s">
        <v>33</v>
      </c>
      <c r="B84" s="5" t="s">
        <v>34</v>
      </c>
      <c r="C84" s="6">
        <v>2024</v>
      </c>
      <c r="D84" s="6">
        <v>1.22</v>
      </c>
      <c r="E84" s="7">
        <v>0.913</v>
      </c>
      <c r="F84" s="6">
        <v>32</v>
      </c>
      <c r="G84" s="6">
        <v>21.1</v>
      </c>
      <c r="H84" s="7">
        <v>0.0578</v>
      </c>
      <c r="I84" s="7">
        <v>0.0381</v>
      </c>
      <c r="J84" s="8">
        <v>0.0168</v>
      </c>
      <c r="K84" s="8">
        <f t="shared" si="2"/>
        <v>0.041</v>
      </c>
      <c r="L84" s="9" t="b">
        <v>0</v>
      </c>
      <c r="M84" s="10"/>
    </row>
    <row r="85" ht="17.75" spans="1:13">
      <c r="A85" s="5" t="s">
        <v>33</v>
      </c>
      <c r="B85" s="5" t="s">
        <v>34</v>
      </c>
      <c r="C85" s="6">
        <v>2025</v>
      </c>
      <c r="D85" s="6">
        <v>1.35</v>
      </c>
      <c r="E85" s="7">
        <v>0.75</v>
      </c>
      <c r="F85" s="6">
        <v>31.1</v>
      </c>
      <c r="G85" s="6">
        <v>26.7</v>
      </c>
      <c r="H85" s="7">
        <v>0.0506</v>
      </c>
      <c r="I85" s="7">
        <v>0.0434</v>
      </c>
      <c r="J85" s="8">
        <v>0.0185</v>
      </c>
      <c r="K85" s="8">
        <f t="shared" si="2"/>
        <v>0.0321</v>
      </c>
      <c r="L85" s="9" t="b">
        <v>0</v>
      </c>
      <c r="M85" s="10"/>
    </row>
    <row r="86" ht="17.75" spans="1:13">
      <c r="A86" s="5" t="s">
        <v>35</v>
      </c>
      <c r="B86" s="5" t="s">
        <v>36</v>
      </c>
      <c r="C86" s="6">
        <v>2018</v>
      </c>
      <c r="D86" s="6">
        <v>2</v>
      </c>
      <c r="E86" s="7">
        <v>0.596</v>
      </c>
      <c r="F86" s="6">
        <v>120</v>
      </c>
      <c r="G86" s="6">
        <v>68.5</v>
      </c>
      <c r="H86" s="7">
        <v>0.0292</v>
      </c>
      <c r="I86" s="7">
        <v>0.0167</v>
      </c>
      <c r="J86" s="8">
        <v>0.0323</v>
      </c>
      <c r="K86" s="8">
        <f t="shared" si="2"/>
        <v>-0.0031</v>
      </c>
      <c r="L86" s="9" t="b">
        <v>0</v>
      </c>
      <c r="M86" s="10"/>
    </row>
    <row r="87" ht="17.75" spans="1:13">
      <c r="A87" s="5" t="s">
        <v>35</v>
      </c>
      <c r="B87" s="5" t="s">
        <v>36</v>
      </c>
      <c r="C87" s="6">
        <v>2019</v>
      </c>
      <c r="D87" s="6">
        <v>3</v>
      </c>
      <c r="E87" s="7">
        <v>0.916</v>
      </c>
      <c r="F87" s="6">
        <v>98.9</v>
      </c>
      <c r="G87" s="6">
        <v>69</v>
      </c>
      <c r="H87" s="7">
        <v>0.0435</v>
      </c>
      <c r="I87" s="7">
        <v>0.0303</v>
      </c>
      <c r="J87" s="8">
        <v>0.0314</v>
      </c>
      <c r="K87" s="8">
        <f t="shared" si="2"/>
        <v>0.0121</v>
      </c>
      <c r="L87" s="9" t="b">
        <v>0</v>
      </c>
      <c r="M87" s="10"/>
    </row>
    <row r="88" ht="17.75" spans="1:13">
      <c r="A88" s="5" t="s">
        <v>35</v>
      </c>
      <c r="B88" s="5" t="s">
        <v>36</v>
      </c>
      <c r="C88" s="6">
        <v>2020</v>
      </c>
      <c r="D88" s="6">
        <v>3.9</v>
      </c>
      <c r="E88" s="7">
        <v>0.891</v>
      </c>
      <c r="F88" s="6">
        <v>128</v>
      </c>
      <c r="G88" s="6">
        <v>71</v>
      </c>
      <c r="H88" s="7">
        <v>0.0549</v>
      </c>
      <c r="I88" s="7">
        <v>0.0305</v>
      </c>
      <c r="J88" s="8">
        <v>0.0317</v>
      </c>
      <c r="K88" s="8">
        <f t="shared" si="2"/>
        <v>0.0232</v>
      </c>
      <c r="L88" s="9" t="b">
        <v>0</v>
      </c>
      <c r="M88" s="10"/>
    </row>
    <row r="89" ht="17.75" spans="1:13">
      <c r="A89" s="5" t="s">
        <v>35</v>
      </c>
      <c r="B89" s="5" t="s">
        <v>36</v>
      </c>
      <c r="C89" s="6">
        <v>2021</v>
      </c>
      <c r="D89" s="6">
        <v>1.6</v>
      </c>
      <c r="E89" s="7">
        <v>0.732</v>
      </c>
      <c r="F89" s="6">
        <v>163</v>
      </c>
      <c r="G89" s="6">
        <v>84</v>
      </c>
      <c r="H89" s="7">
        <v>0.019</v>
      </c>
      <c r="I89" s="7">
        <v>0.0098</v>
      </c>
      <c r="J89" s="8">
        <v>0.0278</v>
      </c>
      <c r="K89" s="8">
        <f t="shared" si="2"/>
        <v>-0.0088</v>
      </c>
      <c r="L89" s="9" t="b">
        <v>0</v>
      </c>
      <c r="M89" s="10"/>
    </row>
    <row r="90" ht="17.75" spans="1:13">
      <c r="A90" s="5" t="s">
        <v>35</v>
      </c>
      <c r="B90" s="5" t="s">
        <v>36</v>
      </c>
      <c r="C90" s="6">
        <v>2022</v>
      </c>
      <c r="D90" s="6">
        <v>1.5</v>
      </c>
      <c r="E90" s="7">
        <v>0.904</v>
      </c>
      <c r="F90" s="6">
        <v>75.2</v>
      </c>
      <c r="G90" s="6">
        <v>50</v>
      </c>
      <c r="H90" s="7">
        <v>0.03</v>
      </c>
      <c r="I90" s="7">
        <v>0.0199</v>
      </c>
      <c r="J90" s="8">
        <v>0.0284</v>
      </c>
      <c r="K90" s="8">
        <f t="shared" si="2"/>
        <v>0.0016</v>
      </c>
      <c r="L90" s="9" t="b">
        <v>0</v>
      </c>
      <c r="M90" s="10"/>
    </row>
    <row r="91" ht="17.75" spans="1:13">
      <c r="A91" s="5" t="s">
        <v>35</v>
      </c>
      <c r="B91" s="5" t="s">
        <v>36</v>
      </c>
      <c r="C91" s="6">
        <v>2023</v>
      </c>
      <c r="D91" s="6">
        <v>2.1</v>
      </c>
      <c r="E91" s="7">
        <v>0.905</v>
      </c>
      <c r="F91" s="6">
        <v>59.9</v>
      </c>
      <c r="G91" s="6">
        <v>46.4</v>
      </c>
      <c r="H91" s="7">
        <v>0.0453</v>
      </c>
      <c r="I91" s="7">
        <v>0.0351</v>
      </c>
      <c r="J91" s="8">
        <v>0.0257</v>
      </c>
      <c r="K91" s="8">
        <f t="shared" ref="K91:K125" si="3">H91-J91</f>
        <v>0.0196</v>
      </c>
      <c r="L91" s="9" t="b">
        <v>0</v>
      </c>
      <c r="M91" s="10"/>
    </row>
    <row r="92" ht="17.75" spans="1:13">
      <c r="A92" s="5" t="s">
        <v>35</v>
      </c>
      <c r="B92" s="5" t="s">
        <v>36</v>
      </c>
      <c r="C92" s="6">
        <v>2024</v>
      </c>
      <c r="D92" s="6">
        <v>2.4</v>
      </c>
      <c r="E92" s="7">
        <v>0.9</v>
      </c>
      <c r="F92" s="6">
        <v>67.1</v>
      </c>
      <c r="G92" s="6">
        <v>44.9</v>
      </c>
      <c r="H92" s="7">
        <v>0.0535</v>
      </c>
      <c r="I92" s="7">
        <v>0.0358</v>
      </c>
      <c r="J92" s="8">
        <v>0.0168</v>
      </c>
      <c r="K92" s="8">
        <f t="shared" si="3"/>
        <v>0.0367</v>
      </c>
      <c r="L92" s="9" t="b">
        <v>0</v>
      </c>
      <c r="M92" s="10"/>
    </row>
    <row r="93" ht="17.75" spans="1:13">
      <c r="A93" s="5" t="s">
        <v>35</v>
      </c>
      <c r="B93" s="5" t="s">
        <v>36</v>
      </c>
      <c r="C93" s="6">
        <v>2025</v>
      </c>
      <c r="D93" s="6">
        <v>2.5</v>
      </c>
      <c r="E93" s="7">
        <v>0.9</v>
      </c>
      <c r="F93" s="6">
        <v>60.4</v>
      </c>
      <c r="G93" s="6">
        <v>53.6</v>
      </c>
      <c r="H93" s="7">
        <v>0.0466</v>
      </c>
      <c r="I93" s="7">
        <v>0.0414</v>
      </c>
      <c r="J93" s="8">
        <v>0.0185</v>
      </c>
      <c r="K93" s="8">
        <f t="shared" si="3"/>
        <v>0.0281</v>
      </c>
      <c r="L93" s="9" t="b">
        <v>0</v>
      </c>
      <c r="M93" s="10"/>
    </row>
    <row r="94" ht="17.75" spans="1:13">
      <c r="A94" s="5" t="s">
        <v>37</v>
      </c>
      <c r="B94" s="5" t="s">
        <v>38</v>
      </c>
      <c r="C94" s="6">
        <v>2018</v>
      </c>
      <c r="D94" s="6">
        <v>14.5</v>
      </c>
      <c r="E94" s="7">
        <v>0.519</v>
      </c>
      <c r="F94" s="6">
        <v>803.5</v>
      </c>
      <c r="G94" s="6">
        <v>509</v>
      </c>
      <c r="H94" s="7">
        <v>0.028</v>
      </c>
      <c r="I94" s="7">
        <v>0.018</v>
      </c>
      <c r="J94" s="8">
        <v>0.0323</v>
      </c>
      <c r="K94" s="8">
        <f t="shared" si="3"/>
        <v>-0.0043</v>
      </c>
      <c r="L94" s="9" t="b">
        <v>0</v>
      </c>
      <c r="M94" s="10"/>
    </row>
    <row r="95" ht="17.75" spans="1:13">
      <c r="A95" s="5" t="s">
        <v>37</v>
      </c>
      <c r="B95" s="5" t="s">
        <v>38</v>
      </c>
      <c r="C95" s="6">
        <v>2019</v>
      </c>
      <c r="D95" s="6">
        <v>17</v>
      </c>
      <c r="E95" s="7">
        <v>0.519</v>
      </c>
      <c r="F95" s="6">
        <v>1241.6</v>
      </c>
      <c r="G95" s="6">
        <v>582</v>
      </c>
      <c r="H95" s="7">
        <v>0.029</v>
      </c>
      <c r="I95" s="7">
        <v>0.014</v>
      </c>
      <c r="J95" s="8">
        <v>0.0314</v>
      </c>
      <c r="K95" s="8">
        <f t="shared" si="3"/>
        <v>-0.0024</v>
      </c>
      <c r="L95" s="9" t="b">
        <v>0</v>
      </c>
      <c r="M95" s="10"/>
    </row>
    <row r="96" ht="17.75" spans="1:13">
      <c r="A96" s="5" t="s">
        <v>37</v>
      </c>
      <c r="B96" s="5" t="s">
        <v>38</v>
      </c>
      <c r="C96" s="6">
        <v>2020</v>
      </c>
      <c r="D96" s="6">
        <v>19.3</v>
      </c>
      <c r="E96" s="7">
        <v>0.519</v>
      </c>
      <c r="F96" s="6">
        <v>1999</v>
      </c>
      <c r="G96" s="6">
        <v>960.1</v>
      </c>
      <c r="H96" s="7">
        <v>0.02</v>
      </c>
      <c r="I96" s="7">
        <v>0.01</v>
      </c>
      <c r="J96" s="8">
        <v>0.0317</v>
      </c>
      <c r="K96" s="8">
        <f t="shared" si="3"/>
        <v>-0.0117</v>
      </c>
      <c r="L96" s="9" t="b">
        <v>0</v>
      </c>
      <c r="M96" s="10"/>
    </row>
    <row r="97" ht="17.75" spans="1:13">
      <c r="A97" s="5" t="s">
        <v>37</v>
      </c>
      <c r="B97" s="5" t="s">
        <v>38</v>
      </c>
      <c r="C97" s="6">
        <v>2021</v>
      </c>
      <c r="D97" s="6">
        <v>21.7</v>
      </c>
      <c r="E97" s="7">
        <v>0.519</v>
      </c>
      <c r="F97" s="6">
        <v>2627.9</v>
      </c>
      <c r="G97" s="6">
        <v>1525.5</v>
      </c>
      <c r="H97" s="7">
        <v>0.014</v>
      </c>
      <c r="I97" s="7">
        <v>0.008</v>
      </c>
      <c r="J97" s="8">
        <v>0.0278</v>
      </c>
      <c r="K97" s="8">
        <f t="shared" si="3"/>
        <v>-0.0138</v>
      </c>
      <c r="L97" s="9" t="b">
        <v>0</v>
      </c>
      <c r="M97" s="10"/>
    </row>
    <row r="98" ht="17.75" spans="1:13">
      <c r="A98" s="5" t="s">
        <v>37</v>
      </c>
      <c r="B98" s="5" t="s">
        <v>38</v>
      </c>
      <c r="C98" s="6">
        <v>2022</v>
      </c>
      <c r="D98" s="6">
        <v>48</v>
      </c>
      <c r="E98" s="7">
        <v>0.958</v>
      </c>
      <c r="F98" s="6">
        <v>2077</v>
      </c>
      <c r="G98" s="6">
        <v>1333</v>
      </c>
      <c r="H98" s="7">
        <v>0.036</v>
      </c>
      <c r="I98" s="7">
        <v>0.023</v>
      </c>
      <c r="J98" s="8">
        <v>0.0284</v>
      </c>
      <c r="K98" s="8">
        <f t="shared" si="3"/>
        <v>0.0076</v>
      </c>
      <c r="L98" s="9" t="b">
        <v>0</v>
      </c>
      <c r="M98" s="10"/>
    </row>
    <row r="99" ht="17.75" spans="1:13">
      <c r="A99" s="5" t="s">
        <v>37</v>
      </c>
      <c r="B99" s="5" t="s">
        <v>38</v>
      </c>
      <c r="C99" s="6">
        <v>2023</v>
      </c>
      <c r="D99" s="6">
        <v>50.6</v>
      </c>
      <c r="E99" s="7">
        <v>0.84</v>
      </c>
      <c r="F99" s="6">
        <v>1935</v>
      </c>
      <c r="G99" s="6">
        <v>1616.3</v>
      </c>
      <c r="H99" s="7">
        <v>0.031</v>
      </c>
      <c r="I99" s="7">
        <v>0.026</v>
      </c>
      <c r="J99" s="8">
        <v>0.0257</v>
      </c>
      <c r="K99" s="8">
        <f t="shared" si="3"/>
        <v>0.0053</v>
      </c>
      <c r="L99" s="9" t="b">
        <v>0</v>
      </c>
      <c r="M99" s="10"/>
    </row>
    <row r="100" ht="17.75" spans="1:13">
      <c r="A100" s="5" t="s">
        <v>37</v>
      </c>
      <c r="B100" s="5" t="s">
        <v>38</v>
      </c>
      <c r="C100" s="6">
        <v>2024</v>
      </c>
      <c r="D100" s="6">
        <v>51.5</v>
      </c>
      <c r="E100" s="7">
        <v>0.75</v>
      </c>
      <c r="F100" s="6">
        <v>1910</v>
      </c>
      <c r="G100" s="6">
        <v>1245.3</v>
      </c>
      <c r="H100" s="7">
        <v>0.041</v>
      </c>
      <c r="I100" s="7">
        <v>0.027</v>
      </c>
      <c r="J100" s="8">
        <v>0.0168</v>
      </c>
      <c r="K100" s="8">
        <f t="shared" si="3"/>
        <v>0.0242</v>
      </c>
      <c r="L100" s="9" t="b">
        <v>0</v>
      </c>
      <c r="M100" s="10"/>
    </row>
    <row r="101" ht="17.75" spans="1:13">
      <c r="A101" s="5" t="s">
        <v>37</v>
      </c>
      <c r="B101" s="5" t="s">
        <v>38</v>
      </c>
      <c r="C101" s="6">
        <v>2025</v>
      </c>
      <c r="D101" s="6">
        <v>56.5</v>
      </c>
      <c r="E101" s="7">
        <v>0.75</v>
      </c>
      <c r="F101" s="6">
        <v>1657.8</v>
      </c>
      <c r="G101" s="6">
        <v>1400</v>
      </c>
      <c r="H101" s="7">
        <v>0.04</v>
      </c>
      <c r="I101" s="7">
        <v>0.034</v>
      </c>
      <c r="J101" s="8">
        <v>0.0185</v>
      </c>
      <c r="K101" s="8">
        <f t="shared" si="3"/>
        <v>0.0215</v>
      </c>
      <c r="L101" s="9" t="b">
        <v>0</v>
      </c>
      <c r="M101" s="10"/>
    </row>
    <row r="102" ht="17.75" spans="1:13">
      <c r="A102" s="5" t="s">
        <v>39</v>
      </c>
      <c r="B102" s="5" t="s">
        <v>40</v>
      </c>
      <c r="C102" s="6">
        <v>2018</v>
      </c>
      <c r="D102" s="6">
        <v>1.6</v>
      </c>
      <c r="E102" s="7">
        <v>0.651</v>
      </c>
      <c r="F102" s="6">
        <v>75.3</v>
      </c>
      <c r="G102" s="6">
        <v>35.1</v>
      </c>
      <c r="H102" s="7">
        <v>0.046</v>
      </c>
      <c r="I102" s="7">
        <v>0.021</v>
      </c>
      <c r="J102" s="8">
        <v>0.0323</v>
      </c>
      <c r="K102" s="8">
        <f t="shared" si="3"/>
        <v>0.0137</v>
      </c>
      <c r="L102" s="9" t="b">
        <v>0</v>
      </c>
      <c r="M102" s="10"/>
    </row>
    <row r="103" ht="17.75" spans="1:13">
      <c r="A103" s="5" t="s">
        <v>39</v>
      </c>
      <c r="B103" s="5" t="s">
        <v>40</v>
      </c>
      <c r="C103" s="6">
        <v>2019</v>
      </c>
      <c r="D103" s="6">
        <v>1.6</v>
      </c>
      <c r="E103" s="7">
        <v>0.502</v>
      </c>
      <c r="F103" s="6">
        <v>98.5</v>
      </c>
      <c r="G103" s="6">
        <v>37.6</v>
      </c>
      <c r="H103" s="7">
        <v>0.043</v>
      </c>
      <c r="I103" s="7">
        <v>0.016</v>
      </c>
      <c r="J103" s="8">
        <v>0.0314</v>
      </c>
      <c r="K103" s="8">
        <f t="shared" si="3"/>
        <v>0.0116</v>
      </c>
      <c r="L103" s="9" t="b">
        <v>0</v>
      </c>
      <c r="M103" s="10"/>
    </row>
    <row r="104" ht="17.75" spans="1:13">
      <c r="A104" s="5" t="s">
        <v>39</v>
      </c>
      <c r="B104" s="5" t="s">
        <v>40</v>
      </c>
      <c r="C104" s="6">
        <v>2020</v>
      </c>
      <c r="D104" s="6">
        <v>2.1</v>
      </c>
      <c r="E104" s="7">
        <v>0.502</v>
      </c>
      <c r="F104" s="6">
        <v>228.5</v>
      </c>
      <c r="G104" s="6">
        <v>64.9</v>
      </c>
      <c r="H104" s="7">
        <v>0.032</v>
      </c>
      <c r="I104" s="7">
        <v>0.009</v>
      </c>
      <c r="J104" s="8">
        <v>0.0317</v>
      </c>
      <c r="K104" s="8">
        <f t="shared" si="3"/>
        <v>0.000300000000000002</v>
      </c>
      <c r="L104" s="9" t="b">
        <v>0</v>
      </c>
      <c r="M104" s="10"/>
    </row>
    <row r="105" ht="17.75" spans="1:13">
      <c r="A105" s="5" t="s">
        <v>39</v>
      </c>
      <c r="B105" s="5" t="s">
        <v>40</v>
      </c>
      <c r="C105" s="6">
        <v>2021</v>
      </c>
      <c r="D105" s="6">
        <v>3.2</v>
      </c>
      <c r="E105" s="7">
        <v>0.6</v>
      </c>
      <c r="F105" s="6">
        <v>327.7</v>
      </c>
      <c r="G105" s="6">
        <v>160.5</v>
      </c>
      <c r="H105" s="7">
        <v>0.02</v>
      </c>
      <c r="I105" s="7">
        <v>0.01</v>
      </c>
      <c r="J105" s="8">
        <v>0.0278</v>
      </c>
      <c r="K105" s="8">
        <f t="shared" si="3"/>
        <v>-0.0078</v>
      </c>
      <c r="L105" s="9" t="b">
        <v>0</v>
      </c>
      <c r="M105" s="10"/>
    </row>
    <row r="106" ht="17.75" spans="1:13">
      <c r="A106" s="5" t="s">
        <v>39</v>
      </c>
      <c r="B106" s="5" t="s">
        <v>40</v>
      </c>
      <c r="C106" s="6">
        <v>2022</v>
      </c>
      <c r="D106" s="6">
        <v>4.2</v>
      </c>
      <c r="E106" s="7">
        <v>0.6</v>
      </c>
      <c r="F106" s="6">
        <v>253.9</v>
      </c>
      <c r="G106" s="6">
        <v>155.2</v>
      </c>
      <c r="H106" s="7">
        <v>0.027</v>
      </c>
      <c r="I106" s="7">
        <v>0.017</v>
      </c>
      <c r="J106" s="8">
        <v>0.0284</v>
      </c>
      <c r="K106" s="8">
        <f t="shared" si="3"/>
        <v>-0.0014</v>
      </c>
      <c r="L106" s="9" t="b">
        <v>0</v>
      </c>
      <c r="M106" s="10"/>
    </row>
    <row r="107" ht="17.75" spans="1:13">
      <c r="A107" s="5" t="s">
        <v>39</v>
      </c>
      <c r="B107" s="5" t="s">
        <v>40</v>
      </c>
      <c r="C107" s="6">
        <v>2023</v>
      </c>
      <c r="D107" s="6">
        <v>5.4</v>
      </c>
      <c r="E107" s="7">
        <v>0.6</v>
      </c>
      <c r="F107" s="6">
        <v>266</v>
      </c>
      <c r="G107" s="6">
        <v>168</v>
      </c>
      <c r="H107" s="7">
        <v>0.032</v>
      </c>
      <c r="I107" s="7">
        <v>0.02</v>
      </c>
      <c r="J107" s="8">
        <v>0.0257</v>
      </c>
      <c r="K107" s="8">
        <f t="shared" si="3"/>
        <v>0.0063</v>
      </c>
      <c r="L107" s="9" t="b">
        <v>0</v>
      </c>
      <c r="M107" s="10"/>
    </row>
    <row r="108" ht="17.75" spans="1:13">
      <c r="A108" s="5" t="s">
        <v>39</v>
      </c>
      <c r="B108" s="5" t="s">
        <v>40</v>
      </c>
      <c r="C108" s="6">
        <v>2024</v>
      </c>
      <c r="D108" s="6">
        <v>6</v>
      </c>
      <c r="E108" s="7">
        <v>0.65</v>
      </c>
      <c r="F108" s="6">
        <v>197.7</v>
      </c>
      <c r="G108" s="6">
        <v>98.9</v>
      </c>
      <c r="H108" s="7">
        <v>0.061</v>
      </c>
      <c r="I108" s="7">
        <v>0.03</v>
      </c>
      <c r="J108" s="8">
        <v>0.0168</v>
      </c>
      <c r="K108" s="8">
        <f t="shared" si="3"/>
        <v>0.0442</v>
      </c>
      <c r="L108" s="9" t="b">
        <v>0</v>
      </c>
      <c r="M108" s="10"/>
    </row>
    <row r="109" ht="17.75" spans="1:13">
      <c r="A109" s="5" t="s">
        <v>39</v>
      </c>
      <c r="B109" s="5" t="s">
        <v>40</v>
      </c>
      <c r="C109" s="6">
        <v>2025</v>
      </c>
      <c r="D109" s="6">
        <v>6</v>
      </c>
      <c r="E109" s="7">
        <v>0.7</v>
      </c>
      <c r="F109" s="6">
        <v>146.7</v>
      </c>
      <c r="G109" s="6">
        <v>112</v>
      </c>
      <c r="H109" s="7">
        <v>0.054</v>
      </c>
      <c r="I109" s="7">
        <v>0.041</v>
      </c>
      <c r="J109" s="8">
        <v>0.0185</v>
      </c>
      <c r="K109" s="8">
        <f t="shared" si="3"/>
        <v>0.0355</v>
      </c>
      <c r="L109" s="9" t="b">
        <v>0</v>
      </c>
      <c r="M109" s="10"/>
    </row>
    <row r="110" ht="17.75" spans="1:13">
      <c r="A110" s="3" t="s">
        <v>41</v>
      </c>
      <c r="B110" s="3" t="s">
        <v>42</v>
      </c>
      <c r="C110" s="4">
        <v>2018</v>
      </c>
      <c r="D110" s="4">
        <v>1</v>
      </c>
      <c r="E110" s="12">
        <v>0.301</v>
      </c>
      <c r="F110" s="4">
        <v>43.88</v>
      </c>
      <c r="G110" s="4">
        <v>26.01</v>
      </c>
      <c r="H110" s="12">
        <v>0.0384</v>
      </c>
      <c r="I110" s="12">
        <v>0.0228</v>
      </c>
      <c r="J110" s="8">
        <v>0.0323</v>
      </c>
      <c r="K110" s="8">
        <f t="shared" si="3"/>
        <v>0.00609999999999999</v>
      </c>
      <c r="L110" s="9" t="b">
        <v>0</v>
      </c>
    </row>
    <row r="111" ht="17.75" spans="1:13">
      <c r="A111" s="5" t="s">
        <v>41</v>
      </c>
      <c r="B111" s="5" t="s">
        <v>42</v>
      </c>
      <c r="C111" s="6">
        <v>2019</v>
      </c>
      <c r="D111" s="6">
        <v>1.2</v>
      </c>
      <c r="E111" s="7">
        <v>0.325</v>
      </c>
      <c r="F111" s="6">
        <v>47.68</v>
      </c>
      <c r="G111" s="6">
        <v>28.15</v>
      </c>
      <c r="H111" s="7">
        <v>0.0426</v>
      </c>
      <c r="I111" s="7">
        <v>0.0252</v>
      </c>
      <c r="J111" s="8">
        <v>0.0314</v>
      </c>
      <c r="K111" s="8">
        <f t="shared" si="3"/>
        <v>0.0112</v>
      </c>
      <c r="L111" s="9" t="b">
        <v>0</v>
      </c>
    </row>
    <row r="112" ht="17.75" spans="1:13">
      <c r="A112" s="5" t="s">
        <v>41</v>
      </c>
      <c r="B112" s="3" t="s">
        <v>42</v>
      </c>
      <c r="C112" s="6">
        <v>2020</v>
      </c>
      <c r="D112" s="6">
        <v>1.2</v>
      </c>
      <c r="E112" s="7">
        <v>0.308</v>
      </c>
      <c r="F112" s="6">
        <v>48.9</v>
      </c>
      <c r="G112" s="6">
        <v>24.5</v>
      </c>
      <c r="H112" s="7">
        <v>0.049</v>
      </c>
      <c r="I112" s="7">
        <v>0.0245</v>
      </c>
      <c r="J112" s="8">
        <v>0.0317</v>
      </c>
      <c r="K112" s="8">
        <f t="shared" si="3"/>
        <v>0.0173</v>
      </c>
      <c r="L112" s="9" t="b">
        <v>0</v>
      </c>
    </row>
    <row r="113" ht="17.75" spans="1:12">
      <c r="A113" s="5" t="s">
        <v>41</v>
      </c>
      <c r="B113" s="5" t="s">
        <v>42</v>
      </c>
      <c r="C113" s="6">
        <v>2021</v>
      </c>
      <c r="D113" s="6">
        <v>1</v>
      </c>
      <c r="E113" s="7">
        <v>0.274</v>
      </c>
      <c r="F113" s="6">
        <v>49.48</v>
      </c>
      <c r="G113" s="6">
        <v>26.35</v>
      </c>
      <c r="H113" s="7">
        <v>0.038</v>
      </c>
      <c r="I113" s="7">
        <v>0.0202</v>
      </c>
      <c r="J113" s="8">
        <v>0.0278</v>
      </c>
      <c r="K113" s="8">
        <f t="shared" si="3"/>
        <v>0.0102</v>
      </c>
      <c r="L113" s="9" t="b">
        <v>0</v>
      </c>
    </row>
    <row r="114" ht="17.75" spans="1:12">
      <c r="A114" s="5" t="s">
        <v>41</v>
      </c>
      <c r="B114" s="3" t="s">
        <v>42</v>
      </c>
      <c r="C114" s="6">
        <v>2022</v>
      </c>
      <c r="D114" s="6">
        <v>1.02</v>
      </c>
      <c r="E114" s="7">
        <v>0.278</v>
      </c>
      <c r="F114" s="6">
        <v>38.5</v>
      </c>
      <c r="G114" s="6">
        <v>20.52</v>
      </c>
      <c r="H114" s="7">
        <v>0.0497</v>
      </c>
      <c r="I114" s="7">
        <v>0.0265</v>
      </c>
      <c r="J114" s="8">
        <v>0.0284</v>
      </c>
      <c r="K114" s="8">
        <f t="shared" si="3"/>
        <v>0.0213</v>
      </c>
      <c r="L114" s="9" t="b">
        <v>0</v>
      </c>
    </row>
    <row r="115" ht="17.75" spans="1:12">
      <c r="A115" s="5" t="s">
        <v>41</v>
      </c>
      <c r="B115" s="5" t="s">
        <v>42</v>
      </c>
      <c r="C115" s="6">
        <v>2023</v>
      </c>
      <c r="D115" s="6">
        <v>1.02</v>
      </c>
      <c r="E115" s="7">
        <v>0.274</v>
      </c>
      <c r="F115" s="6">
        <v>36.88</v>
      </c>
      <c r="G115" s="6">
        <v>22.65</v>
      </c>
      <c r="H115" s="7">
        <v>0.045</v>
      </c>
      <c r="I115" s="7">
        <v>0.0277</v>
      </c>
      <c r="J115" s="8">
        <v>0.0257</v>
      </c>
      <c r="K115" s="8">
        <f t="shared" si="3"/>
        <v>0.0193</v>
      </c>
      <c r="L115" s="9" t="b">
        <v>0</v>
      </c>
    </row>
    <row r="116" ht="17.75" spans="1:12">
      <c r="A116" s="5" t="s">
        <v>41</v>
      </c>
      <c r="B116" s="3" t="s">
        <v>42</v>
      </c>
      <c r="C116" s="6">
        <v>2024</v>
      </c>
      <c r="D116" s="6">
        <v>1.08</v>
      </c>
      <c r="E116" s="7">
        <v>0.302</v>
      </c>
      <c r="F116" s="6">
        <v>42.5</v>
      </c>
      <c r="G116" s="6">
        <v>28.3</v>
      </c>
      <c r="H116" s="7">
        <v>0.0382</v>
      </c>
      <c r="I116" s="7">
        <v>0.0254</v>
      </c>
      <c r="J116" s="8">
        <v>0.0168</v>
      </c>
      <c r="K116" s="8">
        <f t="shared" si="3"/>
        <v>0.0214</v>
      </c>
      <c r="L116" s="9" t="b">
        <v>0</v>
      </c>
    </row>
    <row r="117" ht="17.75" spans="1:12">
      <c r="A117" s="5" t="s">
        <v>41</v>
      </c>
      <c r="B117" s="5" t="s">
        <v>42</v>
      </c>
      <c r="C117" s="6">
        <v>2025</v>
      </c>
      <c r="D117" s="6">
        <v>1.15</v>
      </c>
      <c r="E117" s="7">
        <v>0.315</v>
      </c>
      <c r="F117" s="6">
        <v>45.2</v>
      </c>
      <c r="G117" s="6">
        <v>30.15</v>
      </c>
      <c r="H117" s="7">
        <v>0.0382</v>
      </c>
      <c r="I117" s="7">
        <v>0.0254</v>
      </c>
      <c r="J117" s="8">
        <v>0.0185</v>
      </c>
      <c r="K117" s="8">
        <f t="shared" si="3"/>
        <v>0.0197</v>
      </c>
      <c r="L117" s="9" t="b">
        <v>0</v>
      </c>
    </row>
    <row r="118" ht="17.75" spans="1:12">
      <c r="A118" s="5" t="s">
        <v>43</v>
      </c>
      <c r="B118" s="5" t="s">
        <v>44</v>
      </c>
      <c r="C118" s="6">
        <v>2018</v>
      </c>
      <c r="D118" s="6">
        <v>0.4</v>
      </c>
      <c r="E118" s="7">
        <v>0.215</v>
      </c>
      <c r="F118" s="6">
        <v>28.5</v>
      </c>
      <c r="G118" s="6">
        <v>16.2</v>
      </c>
      <c r="H118" s="7">
        <v>0.0247</v>
      </c>
      <c r="I118" s="7">
        <v>0.014</v>
      </c>
      <c r="J118" s="8">
        <v>0.0323</v>
      </c>
      <c r="K118" s="8">
        <f t="shared" si="3"/>
        <v>-0.0076</v>
      </c>
      <c r="L118" s="9" t="b">
        <v>0</v>
      </c>
    </row>
    <row r="119" ht="17.75" spans="1:12">
      <c r="A119" s="5" t="s">
        <v>43</v>
      </c>
      <c r="B119" s="5" t="s">
        <v>44</v>
      </c>
      <c r="C119" s="6">
        <v>2019</v>
      </c>
      <c r="D119" s="6">
        <v>0.5</v>
      </c>
      <c r="E119" s="7">
        <v>0.228</v>
      </c>
      <c r="F119" s="6">
        <v>35.45</v>
      </c>
      <c r="G119" s="6">
        <v>20.1</v>
      </c>
      <c r="H119" s="7">
        <v>0.0249</v>
      </c>
      <c r="I119" s="7">
        <v>0.0141</v>
      </c>
      <c r="J119" s="8">
        <v>0.0314</v>
      </c>
      <c r="K119" s="8">
        <f t="shared" si="3"/>
        <v>-0.0065</v>
      </c>
      <c r="L119" s="9" t="b">
        <v>0</v>
      </c>
    </row>
    <row r="120" ht="17.75" spans="1:12">
      <c r="A120" s="5" t="s">
        <v>43</v>
      </c>
      <c r="B120" s="5" t="s">
        <v>44</v>
      </c>
      <c r="C120" s="6">
        <v>2020</v>
      </c>
      <c r="D120" s="6">
        <v>0.5</v>
      </c>
      <c r="E120" s="7">
        <v>0.212</v>
      </c>
      <c r="F120" s="6">
        <v>42.8</v>
      </c>
      <c r="G120" s="6">
        <v>22.5</v>
      </c>
      <c r="H120" s="7">
        <v>0.0222</v>
      </c>
      <c r="I120" s="7">
        <v>0.0117</v>
      </c>
      <c r="J120" s="8">
        <v>0.0317</v>
      </c>
      <c r="K120" s="8">
        <f t="shared" si="3"/>
        <v>-0.0095</v>
      </c>
      <c r="L120" s="9" t="b">
        <v>0</v>
      </c>
    </row>
    <row r="121" ht="17.75" spans="1:12">
      <c r="A121" s="5" t="s">
        <v>43</v>
      </c>
      <c r="B121" s="5" t="s">
        <v>44</v>
      </c>
      <c r="C121" s="6">
        <v>2021</v>
      </c>
      <c r="D121" s="6">
        <v>0.5</v>
      </c>
      <c r="E121" s="7">
        <v>0.198</v>
      </c>
      <c r="F121" s="6">
        <v>46.5</v>
      </c>
      <c r="G121" s="6">
        <v>28.3</v>
      </c>
      <c r="H121" s="7">
        <v>0.0177</v>
      </c>
      <c r="I121" s="7">
        <v>0.0108</v>
      </c>
      <c r="J121" s="8">
        <v>0.0278</v>
      </c>
      <c r="K121" s="8">
        <f t="shared" si="3"/>
        <v>-0.0101</v>
      </c>
      <c r="L121" s="9" t="b">
        <v>0</v>
      </c>
    </row>
    <row r="122" ht="17.75" spans="1:12">
      <c r="A122" s="5" t="s">
        <v>43</v>
      </c>
      <c r="B122" s="5" t="s">
        <v>44</v>
      </c>
      <c r="C122" s="6">
        <v>2022</v>
      </c>
      <c r="D122" s="6">
        <v>0.5</v>
      </c>
      <c r="E122" s="7">
        <v>0.185</v>
      </c>
      <c r="F122" s="6">
        <v>45.2</v>
      </c>
      <c r="G122" s="6">
        <v>26.8</v>
      </c>
      <c r="H122" s="7">
        <v>0.0187</v>
      </c>
      <c r="I122" s="7">
        <v>0.0111</v>
      </c>
      <c r="J122" s="8">
        <v>0.0284</v>
      </c>
      <c r="K122" s="8">
        <f t="shared" si="3"/>
        <v>-0.0097</v>
      </c>
      <c r="L122" s="9" t="b">
        <v>0</v>
      </c>
    </row>
    <row r="123" ht="17.75" spans="1:12">
      <c r="A123" s="5" t="s">
        <v>43</v>
      </c>
      <c r="B123" s="5" t="s">
        <v>44</v>
      </c>
      <c r="C123" s="6">
        <v>2023</v>
      </c>
      <c r="D123" s="6">
        <v>0.9</v>
      </c>
      <c r="E123" s="7">
        <v>0.287</v>
      </c>
      <c r="F123" s="6">
        <v>38.6</v>
      </c>
      <c r="G123" s="6">
        <v>25.1</v>
      </c>
      <c r="H123" s="7">
        <v>0.0359</v>
      </c>
      <c r="I123" s="7">
        <v>0.0233</v>
      </c>
      <c r="J123" s="8">
        <v>0.0257</v>
      </c>
      <c r="K123" s="8">
        <f t="shared" si="3"/>
        <v>0.0102</v>
      </c>
      <c r="L123" s="9" t="b">
        <v>0</v>
      </c>
    </row>
    <row r="124" ht="17.75" spans="1:12">
      <c r="A124" s="5" t="s">
        <v>43</v>
      </c>
      <c r="B124" s="5" t="s">
        <v>44</v>
      </c>
      <c r="C124" s="6">
        <v>2024</v>
      </c>
      <c r="D124" s="6">
        <v>0.9</v>
      </c>
      <c r="E124" s="7">
        <v>0.275</v>
      </c>
      <c r="F124" s="6">
        <v>36.8</v>
      </c>
      <c r="G124" s="6">
        <v>27.2</v>
      </c>
      <c r="H124" s="7">
        <v>0.0331</v>
      </c>
      <c r="I124" s="7">
        <v>0.0245</v>
      </c>
      <c r="J124" s="8">
        <v>0.0168</v>
      </c>
      <c r="K124" s="8">
        <f t="shared" si="3"/>
        <v>0.0163</v>
      </c>
      <c r="L124" s="9" t="b">
        <v>0</v>
      </c>
    </row>
    <row r="125" ht="17.75" spans="1:12">
      <c r="A125" s="5" t="s">
        <v>43</v>
      </c>
      <c r="B125" s="5" t="s">
        <v>44</v>
      </c>
      <c r="C125" s="6">
        <v>2025</v>
      </c>
      <c r="D125" s="6">
        <v>1.2</v>
      </c>
      <c r="E125" s="7">
        <v>0.321</v>
      </c>
      <c r="F125" s="6">
        <v>39.5</v>
      </c>
      <c r="G125" s="6">
        <v>29.8</v>
      </c>
      <c r="H125" s="7">
        <v>0.0403</v>
      </c>
      <c r="I125" s="7">
        <v>0.0304</v>
      </c>
      <c r="J125" s="8">
        <v>0.0185</v>
      </c>
      <c r="K125" s="8">
        <f t="shared" si="3"/>
        <v>0.0218</v>
      </c>
      <c r="L125" s="9" t="b">
        <v>0</v>
      </c>
    </row>
    <row r="126" ht="17.75" spans="1:12">
      <c r="A126" s="5" t="s">
        <v>45</v>
      </c>
      <c r="B126" s="5" t="s">
        <v>46</v>
      </c>
      <c r="C126" s="6">
        <v>2018</v>
      </c>
      <c r="D126" s="6">
        <v>0.4</v>
      </c>
      <c r="E126" s="7">
        <v>0.321</v>
      </c>
      <c r="F126" s="6">
        <v>16.8</v>
      </c>
      <c r="G126" s="6">
        <v>10.25</v>
      </c>
      <c r="H126" s="7">
        <v>0.039</v>
      </c>
      <c r="I126" s="7">
        <v>0.0238</v>
      </c>
      <c r="J126" s="8">
        <v>0.0323</v>
      </c>
      <c r="K126" s="8">
        <f t="shared" ref="K126:K141" si="4">H126-J126</f>
        <v>0.0067</v>
      </c>
      <c r="L126" s="9" t="b">
        <v>0</v>
      </c>
    </row>
    <row r="127" ht="17.75" spans="1:12">
      <c r="A127" s="5" t="s">
        <v>45</v>
      </c>
      <c r="B127" s="5" t="s">
        <v>46</v>
      </c>
      <c r="C127" s="6">
        <v>2019</v>
      </c>
      <c r="D127" s="6">
        <v>0.5</v>
      </c>
      <c r="E127" s="7">
        <v>0.335</v>
      </c>
      <c r="F127" s="6">
        <v>18.2</v>
      </c>
      <c r="G127" s="6">
        <v>11.5</v>
      </c>
      <c r="H127" s="7">
        <v>0.0435</v>
      </c>
      <c r="I127" s="7">
        <v>0.0275</v>
      </c>
      <c r="J127" s="8">
        <v>0.0314</v>
      </c>
      <c r="K127" s="8">
        <f t="shared" si="4"/>
        <v>0.0121</v>
      </c>
      <c r="L127" s="9" t="b">
        <v>0</v>
      </c>
    </row>
    <row r="128" ht="17.75" spans="1:12">
      <c r="A128" s="5" t="s">
        <v>45</v>
      </c>
      <c r="B128" s="5" t="s">
        <v>46</v>
      </c>
      <c r="C128" s="6">
        <v>2020</v>
      </c>
      <c r="D128" s="6">
        <v>0.55</v>
      </c>
      <c r="E128" s="7">
        <v>0.342</v>
      </c>
      <c r="F128" s="6">
        <v>17.5</v>
      </c>
      <c r="G128" s="6">
        <v>9.8</v>
      </c>
      <c r="H128" s="7">
        <v>0.0561</v>
      </c>
      <c r="I128" s="7">
        <v>0.0314</v>
      </c>
      <c r="J128" s="8">
        <v>0.0317</v>
      </c>
      <c r="K128" s="8">
        <f t="shared" si="4"/>
        <v>0.0244</v>
      </c>
      <c r="L128" s="9" t="b">
        <v>0</v>
      </c>
    </row>
    <row r="129" ht="17.75" spans="1:12">
      <c r="A129" s="5" t="s">
        <v>45</v>
      </c>
      <c r="B129" s="5" t="s">
        <v>46</v>
      </c>
      <c r="C129" s="6">
        <v>2021</v>
      </c>
      <c r="D129" s="6">
        <v>0.6</v>
      </c>
      <c r="E129" s="7">
        <v>0.351</v>
      </c>
      <c r="F129" s="6">
        <v>16.9</v>
      </c>
      <c r="G129" s="6">
        <v>10.15</v>
      </c>
      <c r="H129" s="7">
        <v>0.0591</v>
      </c>
      <c r="I129" s="7">
        <v>0.0355</v>
      </c>
      <c r="J129" s="8">
        <v>0.0278</v>
      </c>
      <c r="K129" s="8">
        <f t="shared" si="4"/>
        <v>0.0313</v>
      </c>
      <c r="L129" s="9" t="b">
        <v>0</v>
      </c>
    </row>
    <row r="130" ht="17.75" spans="1:12">
      <c r="A130" s="5" t="s">
        <v>45</v>
      </c>
      <c r="B130" s="5" t="s">
        <v>46</v>
      </c>
      <c r="C130" s="6">
        <v>2022</v>
      </c>
      <c r="D130" s="6">
        <v>0.75</v>
      </c>
      <c r="E130" s="7">
        <v>0.386</v>
      </c>
      <c r="F130" s="6">
        <v>14.2</v>
      </c>
      <c r="G130" s="6">
        <v>9.1</v>
      </c>
      <c r="H130" s="7">
        <v>0.0824</v>
      </c>
      <c r="I130" s="7">
        <v>0.0528</v>
      </c>
      <c r="J130" s="8">
        <v>0.0284</v>
      </c>
      <c r="K130" s="8">
        <f t="shared" si="4"/>
        <v>0.054</v>
      </c>
      <c r="L130" s="9" t="b">
        <v>0</v>
      </c>
    </row>
    <row r="131" ht="17.75" spans="1:12">
      <c r="A131" s="5" t="s">
        <v>45</v>
      </c>
      <c r="B131" s="5" t="s">
        <v>46</v>
      </c>
      <c r="C131" s="6">
        <v>2023</v>
      </c>
      <c r="D131" s="6">
        <v>0.8</v>
      </c>
      <c r="E131" s="7">
        <v>0.392</v>
      </c>
      <c r="F131" s="6">
        <v>15.6</v>
      </c>
      <c r="G131" s="6">
        <v>10.3</v>
      </c>
      <c r="H131" s="7">
        <v>0.0777</v>
      </c>
      <c r="I131" s="7">
        <v>0.0513</v>
      </c>
      <c r="J131" s="8">
        <v>0.0257</v>
      </c>
      <c r="K131" s="8">
        <f t="shared" si="4"/>
        <v>0.052</v>
      </c>
      <c r="L131" s="9" t="b">
        <v>0</v>
      </c>
    </row>
    <row r="132" ht="17.75" spans="1:12">
      <c r="A132" s="5" t="s">
        <v>45</v>
      </c>
      <c r="B132" s="5" t="s">
        <v>46</v>
      </c>
      <c r="C132" s="6">
        <v>2024</v>
      </c>
      <c r="D132" s="6">
        <v>0.85</v>
      </c>
      <c r="E132" s="7">
        <v>0.401</v>
      </c>
      <c r="F132" s="6">
        <v>17.8</v>
      </c>
      <c r="G132" s="6">
        <v>12.1</v>
      </c>
      <c r="H132" s="7">
        <v>0.0702</v>
      </c>
      <c r="I132" s="7">
        <v>0.0478</v>
      </c>
      <c r="J132" s="8">
        <v>0.0168</v>
      </c>
      <c r="K132" s="8">
        <f t="shared" si="4"/>
        <v>0.0534</v>
      </c>
      <c r="L132" s="9" t="b">
        <v>0</v>
      </c>
    </row>
    <row r="133" ht="17.75" spans="1:12">
      <c r="A133" s="5" t="s">
        <v>45</v>
      </c>
      <c r="B133" s="5" t="s">
        <v>46</v>
      </c>
      <c r="C133" s="6">
        <v>2025</v>
      </c>
      <c r="D133" s="6">
        <v>0.9</v>
      </c>
      <c r="E133" s="7">
        <v>0.413</v>
      </c>
      <c r="F133" s="6">
        <v>19.2</v>
      </c>
      <c r="G133" s="6">
        <v>13.5</v>
      </c>
      <c r="H133" s="7">
        <v>0.0667</v>
      </c>
      <c r="I133" s="7">
        <v>0.0469</v>
      </c>
      <c r="J133" s="8">
        <v>0.0185</v>
      </c>
      <c r="K133" s="8">
        <f t="shared" si="4"/>
        <v>0.0482</v>
      </c>
      <c r="L133" s="9" t="b">
        <v>0</v>
      </c>
    </row>
    <row r="134" ht="17.75" spans="1:12">
      <c r="A134" s="5" t="s">
        <v>47</v>
      </c>
      <c r="B134" s="5" t="s">
        <v>48</v>
      </c>
      <c r="C134" s="6">
        <v>2018</v>
      </c>
      <c r="D134" s="6">
        <v>0.88</v>
      </c>
      <c r="E134" s="7">
        <v>0.396</v>
      </c>
      <c r="F134" s="6">
        <v>22.15</v>
      </c>
      <c r="G134" s="6">
        <v>14.3</v>
      </c>
      <c r="H134" s="7">
        <v>0.0615</v>
      </c>
      <c r="I134" s="7">
        <v>0.0397</v>
      </c>
      <c r="J134" s="8">
        <v>0.0323</v>
      </c>
      <c r="K134" s="8">
        <f t="shared" si="4"/>
        <v>0.0292</v>
      </c>
      <c r="L134" s="9" t="b">
        <v>0</v>
      </c>
    </row>
    <row r="135" ht="17.75" spans="1:12">
      <c r="A135" s="5" t="s">
        <v>47</v>
      </c>
      <c r="B135" s="5" t="s">
        <v>48</v>
      </c>
      <c r="C135" s="6">
        <v>2019</v>
      </c>
      <c r="D135" s="6">
        <v>0.95</v>
      </c>
      <c r="E135" s="7">
        <v>0.408</v>
      </c>
      <c r="F135" s="6">
        <v>24.3</v>
      </c>
      <c r="G135" s="6">
        <v>16.5</v>
      </c>
      <c r="H135" s="7">
        <v>0.0576</v>
      </c>
      <c r="I135" s="7">
        <v>0.0391</v>
      </c>
      <c r="J135" s="8">
        <v>0.0314</v>
      </c>
      <c r="K135" s="8">
        <f t="shared" si="4"/>
        <v>0.0262</v>
      </c>
      <c r="L135" s="9" t="b">
        <v>0</v>
      </c>
    </row>
    <row r="136" ht="17.75" spans="1:12">
      <c r="A136" s="5" t="s">
        <v>47</v>
      </c>
      <c r="B136" s="5" t="s">
        <v>48</v>
      </c>
      <c r="C136" s="6">
        <v>2020</v>
      </c>
      <c r="D136" s="6">
        <v>1</v>
      </c>
      <c r="E136" s="7">
        <v>0.419</v>
      </c>
      <c r="F136" s="6">
        <v>23.8</v>
      </c>
      <c r="G136" s="6">
        <v>15.1</v>
      </c>
      <c r="H136" s="7">
        <v>0.0662</v>
      </c>
      <c r="I136" s="7">
        <v>0.042</v>
      </c>
      <c r="J136" s="8">
        <v>0.0317</v>
      </c>
      <c r="K136" s="8">
        <f t="shared" si="4"/>
        <v>0.0345</v>
      </c>
      <c r="L136" s="9" t="b">
        <v>0</v>
      </c>
    </row>
    <row r="137" ht="17.75" spans="1:12">
      <c r="A137" s="5" t="s">
        <v>47</v>
      </c>
      <c r="B137" s="5" t="s">
        <v>48</v>
      </c>
      <c r="C137" s="6">
        <v>2021</v>
      </c>
      <c r="D137" s="6">
        <v>1.05</v>
      </c>
      <c r="E137" s="7">
        <v>0.427</v>
      </c>
      <c r="F137" s="6">
        <v>25.6</v>
      </c>
      <c r="G137" s="6">
        <v>17.2</v>
      </c>
      <c r="H137" s="7">
        <v>0.061</v>
      </c>
      <c r="I137" s="7">
        <v>0.041</v>
      </c>
      <c r="J137" s="8">
        <v>0.0278</v>
      </c>
      <c r="K137" s="8">
        <f t="shared" si="4"/>
        <v>0.0332</v>
      </c>
      <c r="L137" s="9" t="b">
        <v>0</v>
      </c>
    </row>
    <row r="138" ht="17.75" spans="1:12">
      <c r="A138" s="5" t="s">
        <v>47</v>
      </c>
      <c r="B138" s="5" t="s">
        <v>48</v>
      </c>
      <c r="C138" s="6">
        <v>2022</v>
      </c>
      <c r="D138" s="6">
        <v>1.2</v>
      </c>
      <c r="E138" s="7">
        <v>0.453</v>
      </c>
      <c r="F138" s="6">
        <v>29.1</v>
      </c>
      <c r="G138" s="6">
        <v>19.4</v>
      </c>
      <c r="H138" s="7">
        <v>0.0619</v>
      </c>
      <c r="I138" s="7">
        <v>0.0412</v>
      </c>
      <c r="J138" s="8">
        <v>0.0284</v>
      </c>
      <c r="K138" s="8">
        <f t="shared" si="4"/>
        <v>0.0335</v>
      </c>
      <c r="L138" s="9" t="b">
        <v>0</v>
      </c>
    </row>
    <row r="139" ht="17.75" spans="1:12">
      <c r="A139" s="5" t="s">
        <v>47</v>
      </c>
      <c r="B139" s="5" t="s">
        <v>48</v>
      </c>
      <c r="C139" s="6">
        <v>2023</v>
      </c>
      <c r="D139" s="6">
        <v>1.25</v>
      </c>
      <c r="E139" s="7">
        <v>0.468</v>
      </c>
      <c r="F139" s="6">
        <v>31.2</v>
      </c>
      <c r="G139" s="6">
        <v>21.5</v>
      </c>
      <c r="H139" s="7">
        <v>0.0581</v>
      </c>
      <c r="I139" s="7">
        <v>0.0401</v>
      </c>
      <c r="J139" s="8">
        <v>0.0257</v>
      </c>
      <c r="K139" s="8">
        <f t="shared" si="4"/>
        <v>0.0324</v>
      </c>
      <c r="L139" s="9" t="b">
        <v>0</v>
      </c>
    </row>
    <row r="140" ht="17.75" spans="1:12">
      <c r="A140" s="5" t="s">
        <v>47</v>
      </c>
      <c r="B140" s="5" t="s">
        <v>48</v>
      </c>
      <c r="C140" s="6">
        <v>2024</v>
      </c>
      <c r="D140" s="6">
        <v>1.3</v>
      </c>
      <c r="E140" s="7">
        <v>0.479</v>
      </c>
      <c r="F140" s="6">
        <v>33.4</v>
      </c>
      <c r="G140" s="6">
        <v>23.8</v>
      </c>
      <c r="H140" s="7">
        <v>0.0546</v>
      </c>
      <c r="I140" s="7">
        <v>0.0389</v>
      </c>
      <c r="J140" s="8">
        <v>0.0168</v>
      </c>
      <c r="K140" s="8">
        <f t="shared" si="4"/>
        <v>0.0378</v>
      </c>
      <c r="L140" s="9" t="b">
        <v>0</v>
      </c>
    </row>
    <row r="141" ht="17.75" spans="1:12">
      <c r="A141" s="5" t="s">
        <v>47</v>
      </c>
      <c r="B141" s="5" t="s">
        <v>48</v>
      </c>
      <c r="C141" s="6">
        <v>2025</v>
      </c>
      <c r="D141" s="6">
        <v>1.35</v>
      </c>
      <c r="E141" s="7">
        <v>0.492</v>
      </c>
      <c r="F141" s="6">
        <v>35.6</v>
      </c>
      <c r="G141" s="6">
        <v>25.9</v>
      </c>
      <c r="H141" s="7">
        <v>0.0521</v>
      </c>
      <c r="I141" s="7">
        <v>0.0379</v>
      </c>
      <c r="J141" s="8">
        <v>0.0185</v>
      </c>
      <c r="K141" s="8">
        <f t="shared" si="4"/>
        <v>0.0336</v>
      </c>
      <c r="L141" s="9" t="b">
        <v>0</v>
      </c>
    </row>
    <row r="142" ht="17.75" spans="1:12">
      <c r="A142" s="5" t="s">
        <v>49</v>
      </c>
      <c r="B142" s="5" t="s">
        <v>50</v>
      </c>
      <c r="C142" s="6">
        <v>2018</v>
      </c>
      <c r="D142" s="6">
        <v>2</v>
      </c>
      <c r="E142" s="7">
        <v>0.403</v>
      </c>
      <c r="F142" s="6">
        <v>54.8</v>
      </c>
      <c r="G142" s="6">
        <v>28.6</v>
      </c>
      <c r="H142" s="7">
        <v>0.0699</v>
      </c>
      <c r="I142" s="7">
        <v>0.0365</v>
      </c>
      <c r="J142" s="8">
        <v>0.0323</v>
      </c>
      <c r="K142" s="8">
        <f t="shared" ref="K142:K149" si="5">H142-J142</f>
        <v>0.0376</v>
      </c>
      <c r="L142" s="9" t="b">
        <v>0</v>
      </c>
    </row>
    <row r="143" ht="17.75" spans="1:12">
      <c r="A143" s="5" t="s">
        <v>49</v>
      </c>
      <c r="B143" s="5" t="s">
        <v>50</v>
      </c>
      <c r="C143" s="6">
        <v>2019</v>
      </c>
      <c r="D143" s="6">
        <v>1.3</v>
      </c>
      <c r="E143" s="7">
        <v>0.402</v>
      </c>
      <c r="F143" s="6">
        <v>56.2</v>
      </c>
      <c r="G143" s="6">
        <v>30.5</v>
      </c>
      <c r="H143" s="7">
        <v>0.0426</v>
      </c>
      <c r="I143" s="7">
        <v>0.0231</v>
      </c>
      <c r="J143" s="8">
        <v>0.0314</v>
      </c>
      <c r="K143" s="8">
        <f t="shared" si="5"/>
        <v>0.0112</v>
      </c>
      <c r="L143" s="9" t="b">
        <v>0</v>
      </c>
    </row>
    <row r="144" ht="17.75" spans="1:12">
      <c r="A144" s="5" t="s">
        <v>49</v>
      </c>
      <c r="B144" s="5" t="s">
        <v>50</v>
      </c>
      <c r="C144" s="6">
        <v>2020</v>
      </c>
      <c r="D144" s="6">
        <v>1.3</v>
      </c>
      <c r="E144" s="7">
        <v>0.406</v>
      </c>
      <c r="F144" s="6">
        <v>96.8</v>
      </c>
      <c r="G144" s="6">
        <v>36.2</v>
      </c>
      <c r="H144" s="7">
        <v>0.0359</v>
      </c>
      <c r="I144" s="7">
        <v>0.0134</v>
      </c>
      <c r="J144" s="8">
        <v>0.0317</v>
      </c>
      <c r="K144" s="8">
        <f t="shared" si="5"/>
        <v>0.0042</v>
      </c>
      <c r="L144" s="9" t="b">
        <v>0</v>
      </c>
    </row>
    <row r="145" ht="17.75" spans="1:12">
      <c r="A145" s="5" t="s">
        <v>49</v>
      </c>
      <c r="B145" s="5" t="s">
        <v>50</v>
      </c>
      <c r="C145" s="6">
        <v>2021</v>
      </c>
      <c r="D145" s="6">
        <v>2.5</v>
      </c>
      <c r="E145" s="7">
        <v>0.318</v>
      </c>
      <c r="F145" s="6">
        <v>148</v>
      </c>
      <c r="G145" s="6">
        <v>78.5</v>
      </c>
      <c r="H145" s="7">
        <v>0.0318</v>
      </c>
      <c r="I145" s="7">
        <v>0.0169</v>
      </c>
      <c r="J145" s="8">
        <v>0.0278</v>
      </c>
      <c r="K145" s="8">
        <f t="shared" si="5"/>
        <v>0.004</v>
      </c>
      <c r="L145" s="9" t="b">
        <v>0</v>
      </c>
    </row>
    <row r="146" ht="17.75" spans="1:12">
      <c r="A146" s="5" t="s">
        <v>49</v>
      </c>
      <c r="B146" s="5" t="s">
        <v>50</v>
      </c>
      <c r="C146" s="6">
        <v>2022</v>
      </c>
      <c r="D146" s="6">
        <v>1.6</v>
      </c>
      <c r="E146" s="7">
        <v>0.309</v>
      </c>
      <c r="F146" s="6">
        <v>118.5</v>
      </c>
      <c r="G146" s="6">
        <v>48.2</v>
      </c>
      <c r="H146" s="7">
        <v>0.0332</v>
      </c>
      <c r="I146" s="7">
        <v>0.0135</v>
      </c>
      <c r="J146" s="8">
        <v>0.0284</v>
      </c>
      <c r="K146" s="8">
        <f t="shared" si="5"/>
        <v>0.0048</v>
      </c>
      <c r="L146" s="9" t="b">
        <v>0</v>
      </c>
    </row>
    <row r="147" ht="17.75" spans="1:12">
      <c r="A147" s="5" t="s">
        <v>49</v>
      </c>
      <c r="B147" s="5" t="s">
        <v>50</v>
      </c>
      <c r="C147" s="6">
        <v>2023</v>
      </c>
      <c r="D147" s="6">
        <v>1.63</v>
      </c>
      <c r="E147" s="7">
        <v>0.304</v>
      </c>
      <c r="F147" s="6">
        <v>105.8</v>
      </c>
      <c r="G147" s="6">
        <v>62.3</v>
      </c>
      <c r="H147" s="7">
        <v>0.0261</v>
      </c>
      <c r="I147" s="7">
        <v>0.0154</v>
      </c>
      <c r="J147" s="8">
        <v>0.0257</v>
      </c>
      <c r="K147" s="8">
        <f t="shared" si="5"/>
        <v>0.000400000000000001</v>
      </c>
      <c r="L147" s="9" t="b">
        <v>0</v>
      </c>
    </row>
    <row r="148" ht="17.75" spans="1:12">
      <c r="A148" s="5" t="s">
        <v>49</v>
      </c>
      <c r="B148" s="5" t="s">
        <v>50</v>
      </c>
      <c r="C148" s="6">
        <v>2024</v>
      </c>
      <c r="D148" s="6">
        <v>1.25</v>
      </c>
      <c r="E148" s="7">
        <v>0.301</v>
      </c>
      <c r="F148" s="6">
        <v>98.6</v>
      </c>
      <c r="G148" s="6">
        <v>58.4</v>
      </c>
      <c r="H148" s="7">
        <v>0.0214</v>
      </c>
      <c r="I148" s="7">
        <v>0.0127</v>
      </c>
      <c r="J148" s="8">
        <v>0.0168</v>
      </c>
      <c r="K148" s="8">
        <f t="shared" si="5"/>
        <v>0.0046</v>
      </c>
      <c r="L148" s="9" t="b">
        <v>0</v>
      </c>
    </row>
    <row r="149" ht="17.75" spans="1:12">
      <c r="A149" s="5" t="s">
        <v>49</v>
      </c>
      <c r="B149" s="5" t="s">
        <v>50</v>
      </c>
      <c r="C149" s="6">
        <v>2025</v>
      </c>
      <c r="D149" s="6">
        <v>1.3</v>
      </c>
      <c r="E149" s="7">
        <v>0.305</v>
      </c>
      <c r="F149" s="6">
        <v>92.5</v>
      </c>
      <c r="G149" s="6">
        <v>52.8</v>
      </c>
      <c r="H149" s="7">
        <v>0.0246</v>
      </c>
      <c r="I149" s="7">
        <v>0.014</v>
      </c>
      <c r="J149" s="8">
        <v>0.0185</v>
      </c>
      <c r="K149" s="8">
        <f t="shared" si="5"/>
        <v>0.0061</v>
      </c>
      <c r="L149" s="9" t="b">
        <v>0</v>
      </c>
    </row>
    <row r="150" ht="17.75" spans="1:12">
      <c r="A150" s="5" t="s">
        <v>51</v>
      </c>
      <c r="B150" s="2" t="s">
        <v>52</v>
      </c>
      <c r="C150" s="6">
        <v>2018</v>
      </c>
      <c r="D150" s="6">
        <v>1.7</v>
      </c>
      <c r="E150" s="7">
        <v>0.4893</v>
      </c>
      <c r="F150" s="6">
        <v>79.06</v>
      </c>
      <c r="G150" s="6">
        <v>45.08</v>
      </c>
      <c r="H150" s="7">
        <v>0.0377</v>
      </c>
      <c r="I150" s="7">
        <v>0.0215</v>
      </c>
      <c r="J150" s="8">
        <v>0.0323</v>
      </c>
      <c r="K150" s="8">
        <f t="shared" ref="K150:K158" si="6">H150-J150</f>
        <v>0.0054</v>
      </c>
      <c r="L150" s="9" t="b">
        <v>0</v>
      </c>
    </row>
    <row r="151" ht="17.75" spans="1:12">
      <c r="A151" s="5" t="s">
        <v>51</v>
      </c>
      <c r="B151" s="2" t="s">
        <v>52</v>
      </c>
      <c r="C151" s="6">
        <v>2019</v>
      </c>
      <c r="D151" s="6">
        <v>2.2</v>
      </c>
      <c r="E151" s="7">
        <v>0.4907</v>
      </c>
      <c r="F151" s="6">
        <v>142.88</v>
      </c>
      <c r="G151" s="6">
        <v>70.5</v>
      </c>
      <c r="H151" s="7">
        <v>0.0312</v>
      </c>
      <c r="I151" s="7">
        <v>0.0154</v>
      </c>
      <c r="J151" s="8">
        <v>0.0314</v>
      </c>
      <c r="K151" s="8">
        <f t="shared" si="6"/>
        <v>-0.000199999999999999</v>
      </c>
      <c r="L151" s="9" t="b">
        <v>0</v>
      </c>
    </row>
    <row r="152" ht="17.75" spans="1:12">
      <c r="A152" s="5" t="s">
        <v>51</v>
      </c>
      <c r="B152" s="2" t="s">
        <v>52</v>
      </c>
      <c r="C152" s="6">
        <v>2020</v>
      </c>
      <c r="D152" s="6">
        <v>2.58</v>
      </c>
      <c r="E152" s="7">
        <v>0.5018</v>
      </c>
      <c r="F152" s="6">
        <v>276.5</v>
      </c>
      <c r="G152" s="6">
        <v>100</v>
      </c>
      <c r="H152" s="7">
        <v>0.0258</v>
      </c>
      <c r="I152" s="7">
        <v>0.0093</v>
      </c>
      <c r="J152" s="8">
        <v>0.0317</v>
      </c>
      <c r="K152" s="8">
        <f t="shared" si="6"/>
        <v>-0.0059</v>
      </c>
      <c r="L152" s="9" t="b">
        <v>0</v>
      </c>
    </row>
    <row r="153" ht="17.75" spans="1:12">
      <c r="A153" s="5" t="s">
        <v>51</v>
      </c>
      <c r="B153" s="2" t="s">
        <v>52</v>
      </c>
      <c r="C153" s="6">
        <v>2021</v>
      </c>
      <c r="D153" s="6">
        <v>3.02</v>
      </c>
      <c r="E153" s="7">
        <v>0.5014</v>
      </c>
      <c r="F153" s="6">
        <v>354.31</v>
      </c>
      <c r="G153" s="6">
        <v>180.15</v>
      </c>
      <c r="H153" s="7">
        <v>0.0168</v>
      </c>
      <c r="I153" s="7">
        <v>0.0085</v>
      </c>
      <c r="J153" s="8">
        <v>0.0278</v>
      </c>
      <c r="K153" s="8">
        <f t="shared" si="6"/>
        <v>-0.011</v>
      </c>
      <c r="L153" s="9" t="b">
        <v>0</v>
      </c>
    </row>
    <row r="154" ht="17.75" spans="1:12">
      <c r="A154" s="5" t="s">
        <v>51</v>
      </c>
      <c r="B154" s="2" t="s">
        <v>52</v>
      </c>
      <c r="C154" s="6">
        <v>2022</v>
      </c>
      <c r="D154" s="6">
        <v>3.78</v>
      </c>
      <c r="E154" s="7">
        <v>0.5497</v>
      </c>
      <c r="F154" s="6">
        <v>291.4</v>
      </c>
      <c r="G154" s="6">
        <v>130</v>
      </c>
      <c r="H154" s="7">
        <v>0.0291</v>
      </c>
      <c r="I154" s="7">
        <v>0.013</v>
      </c>
      <c r="J154" s="8">
        <v>0.0284</v>
      </c>
      <c r="K154" s="8">
        <f t="shared" si="6"/>
        <v>0.000699999999999999</v>
      </c>
      <c r="L154" s="9" t="b">
        <v>0</v>
      </c>
    </row>
    <row r="155" ht="17.75" spans="1:12">
      <c r="A155" s="5" t="s">
        <v>51</v>
      </c>
      <c r="B155" s="2" t="s">
        <v>52</v>
      </c>
      <c r="C155" s="6">
        <v>2023</v>
      </c>
      <c r="D155" s="6">
        <v>4.67</v>
      </c>
      <c r="E155" s="7">
        <v>0.6</v>
      </c>
      <c r="F155" s="6">
        <v>215.8</v>
      </c>
      <c r="G155" s="6">
        <v>130.5</v>
      </c>
      <c r="H155" s="7">
        <v>0.0358</v>
      </c>
      <c r="I155" s="7">
        <v>0.0216</v>
      </c>
      <c r="J155" s="8">
        <v>0.0257</v>
      </c>
      <c r="K155" s="8">
        <f t="shared" si="6"/>
        <v>0.0101</v>
      </c>
      <c r="L155" s="9" t="b">
        <v>0</v>
      </c>
    </row>
    <row r="156" ht="17.75" spans="1:12">
      <c r="A156" s="5" t="s">
        <v>51</v>
      </c>
      <c r="B156" s="2" t="s">
        <v>52</v>
      </c>
      <c r="C156" s="6">
        <v>2024</v>
      </c>
      <c r="D156" s="6">
        <v>5.75</v>
      </c>
      <c r="E156" s="7">
        <v>0.7001</v>
      </c>
      <c r="F156" s="6">
        <v>185</v>
      </c>
      <c r="G156" s="6">
        <v>115</v>
      </c>
      <c r="H156" s="7">
        <v>0.05</v>
      </c>
      <c r="I156" s="7">
        <v>0.0311</v>
      </c>
      <c r="J156" s="8">
        <v>0.0168</v>
      </c>
      <c r="K156" s="8">
        <f t="shared" si="6"/>
        <v>0.0332</v>
      </c>
      <c r="L156" s="9" t="b">
        <v>0</v>
      </c>
    </row>
    <row r="157" ht="17.75" spans="1:12">
      <c r="A157" s="5" t="s">
        <v>51</v>
      </c>
      <c r="B157" s="2" t="s">
        <v>52</v>
      </c>
      <c r="C157" s="6">
        <v>2025</v>
      </c>
      <c r="D157" s="6">
        <v>2.58</v>
      </c>
      <c r="E157" s="7">
        <v>0.7</v>
      </c>
      <c r="F157" s="6">
        <v>142.96</v>
      </c>
      <c r="G157" s="6">
        <v>105.61</v>
      </c>
      <c r="H157" s="7">
        <v>0.0244</v>
      </c>
      <c r="I157" s="7">
        <v>0.018</v>
      </c>
      <c r="J157" s="8">
        <v>0.0185</v>
      </c>
      <c r="K157" s="8">
        <f t="shared" si="6"/>
        <v>0.0059</v>
      </c>
      <c r="L157" s="9" t="b">
        <v>0</v>
      </c>
    </row>
    <row r="158" ht="17.55" spans="1:12">
      <c r="A158" s="2" t="s">
        <v>53</v>
      </c>
      <c r="B158" s="2" t="s">
        <v>54</v>
      </c>
      <c r="C158" s="1">
        <v>2018</v>
      </c>
      <c r="D158" s="1">
        <v>0.18</v>
      </c>
      <c r="E158" s="1">
        <v>47.37</v>
      </c>
      <c r="F158" s="1">
        <v>11.85</v>
      </c>
      <c r="G158" s="1">
        <v>6.2</v>
      </c>
      <c r="H158" s="13">
        <v>0.029</v>
      </c>
      <c r="I158" s="13">
        <v>0.0152</v>
      </c>
      <c r="J158" s="8">
        <v>0.0323</v>
      </c>
      <c r="K158" s="8">
        <f t="shared" si="6"/>
        <v>-0.0033</v>
      </c>
      <c r="L158" s="9" t="b">
        <v>0</v>
      </c>
    </row>
    <row r="159" ht="17.55" spans="1:12">
      <c r="A159" s="2" t="s">
        <v>53</v>
      </c>
      <c r="B159" s="2" t="s">
        <v>54</v>
      </c>
      <c r="C159" s="1">
        <v>2019</v>
      </c>
      <c r="D159" s="1">
        <v>0.235</v>
      </c>
      <c r="E159" s="1">
        <v>35.07</v>
      </c>
      <c r="F159" s="1">
        <v>31.86</v>
      </c>
      <c r="G159" s="1">
        <v>7.12</v>
      </c>
      <c r="H159" s="13">
        <v>0.033</v>
      </c>
      <c r="I159" s="13">
        <v>0.0074</v>
      </c>
      <c r="J159" s="8">
        <v>0.0314</v>
      </c>
      <c r="K159" s="8">
        <f t="shared" ref="K158:K165" si="7">H159-J159</f>
        <v>0.0016</v>
      </c>
      <c r="L159" s="9" t="b">
        <v>0</v>
      </c>
    </row>
    <row r="160" ht="17.55" spans="1:12">
      <c r="A160" s="2" t="s">
        <v>53</v>
      </c>
      <c r="B160" s="2" t="s">
        <v>54</v>
      </c>
      <c r="C160" s="1">
        <v>2020</v>
      </c>
      <c r="D160" s="1">
        <v>0.375</v>
      </c>
      <c r="E160" s="1">
        <v>31.25</v>
      </c>
      <c r="F160" s="1">
        <v>59.27</v>
      </c>
      <c r="G160" s="1">
        <v>20.81</v>
      </c>
      <c r="H160" s="13">
        <v>0.018</v>
      </c>
      <c r="I160" s="13">
        <v>0.0063</v>
      </c>
      <c r="J160" s="8">
        <v>0.0317</v>
      </c>
      <c r="K160" s="8">
        <f t="shared" si="7"/>
        <v>-0.0137</v>
      </c>
      <c r="L160" s="9" t="b">
        <v>0</v>
      </c>
    </row>
    <row r="161" ht="17.55" spans="1:12">
      <c r="A161" s="2" t="s">
        <v>53</v>
      </c>
      <c r="B161" s="2" t="s">
        <v>54</v>
      </c>
      <c r="C161" s="1">
        <v>2021</v>
      </c>
      <c r="D161" s="1">
        <v>0.395</v>
      </c>
      <c r="E161" s="1">
        <v>31.6</v>
      </c>
      <c r="F161" s="1">
        <v>38.62</v>
      </c>
      <c r="G161" s="1">
        <v>23.18</v>
      </c>
      <c r="H161" s="13">
        <v>0.017</v>
      </c>
      <c r="I161" s="13">
        <v>0.0102</v>
      </c>
      <c r="J161" s="8">
        <v>0.0278</v>
      </c>
      <c r="K161" s="8">
        <f t="shared" si="7"/>
        <v>-0.0108</v>
      </c>
      <c r="L161" s="9" t="b">
        <v>0</v>
      </c>
    </row>
    <row r="162" ht="17.55" spans="1:12">
      <c r="A162" s="2" t="s">
        <v>53</v>
      </c>
      <c r="B162" s="2" t="s">
        <v>54</v>
      </c>
      <c r="C162" s="1">
        <v>2022</v>
      </c>
      <c r="D162" s="1">
        <v>0.27</v>
      </c>
      <c r="E162" s="1">
        <v>31.4</v>
      </c>
      <c r="F162" s="1">
        <v>28.95</v>
      </c>
      <c r="G162" s="1">
        <v>20.5</v>
      </c>
      <c r="H162" s="13">
        <v>0.0132</v>
      </c>
      <c r="I162" s="13">
        <v>0.0093</v>
      </c>
      <c r="J162" s="8">
        <v>0.0284</v>
      </c>
      <c r="K162" s="8">
        <f t="shared" si="7"/>
        <v>-0.0152</v>
      </c>
      <c r="L162" s="9" t="b">
        <v>0</v>
      </c>
    </row>
    <row r="163" ht="17.55" spans="1:12">
      <c r="A163" s="2" t="s">
        <v>53</v>
      </c>
      <c r="B163" s="2" t="s">
        <v>54</v>
      </c>
      <c r="C163" s="1">
        <v>2023</v>
      </c>
      <c r="D163" s="1">
        <v>0.25</v>
      </c>
      <c r="E163" s="1">
        <v>32.05</v>
      </c>
      <c r="F163" s="1">
        <v>27.88</v>
      </c>
      <c r="G163" s="1">
        <v>21.45</v>
      </c>
      <c r="H163" s="13">
        <v>0.0117</v>
      </c>
      <c r="I163" s="13">
        <v>0.009</v>
      </c>
      <c r="J163" s="8">
        <v>0.0257</v>
      </c>
      <c r="K163" s="8">
        <f t="shared" si="7"/>
        <v>-0.014</v>
      </c>
      <c r="L163" s="9" t="b">
        <v>0</v>
      </c>
    </row>
    <row r="164" ht="17.55" spans="1:12">
      <c r="A164" s="2" t="s">
        <v>53</v>
      </c>
      <c r="B164" s="2" t="s">
        <v>54</v>
      </c>
      <c r="C164" s="1">
        <v>2024</v>
      </c>
      <c r="D164" s="1">
        <v>0.255</v>
      </c>
      <c r="E164" s="1">
        <v>32.28</v>
      </c>
      <c r="F164" s="1">
        <v>31.75</v>
      </c>
      <c r="G164" s="1">
        <v>24.18</v>
      </c>
      <c r="H164" s="13">
        <v>0.0105</v>
      </c>
      <c r="I164" s="13">
        <v>0.008</v>
      </c>
      <c r="J164" s="8">
        <v>0.0168</v>
      </c>
      <c r="K164" s="8">
        <f t="shared" si="7"/>
        <v>-0.0063</v>
      </c>
      <c r="L164" s="9" t="b">
        <v>0</v>
      </c>
    </row>
    <row r="165" ht="17.55" spans="1:12">
      <c r="A165" s="2" t="s">
        <v>53</v>
      </c>
      <c r="B165" s="2" t="s">
        <v>54</v>
      </c>
      <c r="C165" s="1">
        <v>2025</v>
      </c>
      <c r="D165" s="1">
        <v>0.165</v>
      </c>
      <c r="E165" s="1">
        <v>20.12</v>
      </c>
      <c r="F165" s="1">
        <v>29.8</v>
      </c>
      <c r="G165" s="1">
        <v>23.5</v>
      </c>
      <c r="H165" s="13">
        <v>0.007</v>
      </c>
      <c r="I165" s="13">
        <v>0.0055</v>
      </c>
      <c r="J165" s="8">
        <v>0.0185</v>
      </c>
      <c r="K165" s="8">
        <f t="shared" si="7"/>
        <v>-0.0115</v>
      </c>
      <c r="L165" s="9" t="b">
        <v>0</v>
      </c>
    </row>
    <row r="166" ht="17.55" spans="1:12">
      <c r="A166" s="2" t="s">
        <v>55</v>
      </c>
      <c r="B166" s="2" t="s">
        <v>56</v>
      </c>
      <c r="C166" s="1">
        <v>2018</v>
      </c>
      <c r="D166" s="1">
        <v>0.42</v>
      </c>
      <c r="E166" s="1">
        <v>80.61</v>
      </c>
      <c r="F166" s="1">
        <v>7.72</v>
      </c>
      <c r="G166" s="1">
        <v>5.41</v>
      </c>
      <c r="H166" s="13">
        <v>0.0776</v>
      </c>
      <c r="I166" s="13">
        <v>0.0544</v>
      </c>
      <c r="J166" s="8">
        <v>0.0323</v>
      </c>
      <c r="K166" s="8">
        <f t="shared" ref="K166:K193" si="8">H166-J166</f>
        <v>0.0453</v>
      </c>
      <c r="L166" s="9" t="b">
        <v>0</v>
      </c>
    </row>
    <row r="167" ht="17.55" spans="1:12">
      <c r="A167" s="2" t="s">
        <v>55</v>
      </c>
      <c r="B167" s="2" t="s">
        <v>56</v>
      </c>
      <c r="C167" s="1">
        <v>2019</v>
      </c>
      <c r="D167" s="1">
        <v>0.31</v>
      </c>
      <c r="E167" s="1">
        <v>65.13</v>
      </c>
      <c r="F167" s="1">
        <v>6.48</v>
      </c>
      <c r="G167" s="1">
        <v>4.82</v>
      </c>
      <c r="H167" s="13">
        <v>0.0643</v>
      </c>
      <c r="I167" s="13">
        <v>0.0478</v>
      </c>
      <c r="J167" s="8">
        <v>0.0314</v>
      </c>
      <c r="K167" s="8">
        <f t="shared" si="8"/>
        <v>0.0329</v>
      </c>
      <c r="L167" s="9" t="b">
        <v>0</v>
      </c>
    </row>
    <row r="168" ht="17.55" spans="1:12">
      <c r="A168" s="2" t="s">
        <v>55</v>
      </c>
      <c r="B168" s="2" t="s">
        <v>56</v>
      </c>
      <c r="C168" s="1">
        <v>2020</v>
      </c>
      <c r="D168" s="1">
        <v>0.2</v>
      </c>
      <c r="E168" s="1">
        <v>72.73</v>
      </c>
      <c r="F168" s="1">
        <v>5.41</v>
      </c>
      <c r="G168" s="1">
        <v>3.86</v>
      </c>
      <c r="H168" s="13">
        <v>0.0518</v>
      </c>
      <c r="I168" s="13">
        <v>0.037</v>
      </c>
      <c r="J168" s="8">
        <v>0.0317</v>
      </c>
      <c r="K168" s="8">
        <f t="shared" si="8"/>
        <v>0.0201</v>
      </c>
      <c r="L168" s="9" t="b">
        <v>0</v>
      </c>
    </row>
    <row r="169" ht="17.55" spans="1:12">
      <c r="A169" s="2" t="s">
        <v>55</v>
      </c>
      <c r="B169" s="2" t="s">
        <v>56</v>
      </c>
      <c r="C169" s="1">
        <v>2021</v>
      </c>
      <c r="D169" s="1">
        <v>0.47</v>
      </c>
      <c r="E169" s="1">
        <v>79.93</v>
      </c>
      <c r="F169" s="1">
        <v>5.05</v>
      </c>
      <c r="G169" s="1">
        <v>3.78</v>
      </c>
      <c r="H169" s="13">
        <v>0.1243</v>
      </c>
      <c r="I169" s="13">
        <v>0.0931</v>
      </c>
      <c r="J169" s="8">
        <v>0.0278</v>
      </c>
      <c r="K169" s="8">
        <f t="shared" si="8"/>
        <v>0.0965</v>
      </c>
      <c r="L169" s="9" t="b">
        <v>0</v>
      </c>
    </row>
    <row r="170" ht="17.55" spans="1:12">
      <c r="A170" s="2" t="s">
        <v>55</v>
      </c>
      <c r="B170" s="2" t="s">
        <v>56</v>
      </c>
      <c r="C170" s="1">
        <v>2022</v>
      </c>
      <c r="D170" s="1">
        <v>0.47</v>
      </c>
      <c r="E170" s="1">
        <v>84.68</v>
      </c>
      <c r="F170" s="1">
        <v>5.12</v>
      </c>
      <c r="G170" s="1">
        <v>3.95</v>
      </c>
      <c r="H170" s="13">
        <v>0.119</v>
      </c>
      <c r="I170" s="13">
        <v>0.0918</v>
      </c>
      <c r="J170" s="8">
        <v>0.0284</v>
      </c>
      <c r="K170" s="8">
        <f t="shared" si="8"/>
        <v>0.0906</v>
      </c>
      <c r="L170" s="9" t="b">
        <v>0</v>
      </c>
    </row>
    <row r="171" ht="17.55" spans="1:12">
      <c r="A171" s="2" t="s">
        <v>55</v>
      </c>
      <c r="B171" s="2" t="s">
        <v>56</v>
      </c>
      <c r="C171" s="1">
        <v>2023</v>
      </c>
      <c r="D171" s="1">
        <v>0.29</v>
      </c>
      <c r="E171" s="1">
        <v>57.43</v>
      </c>
      <c r="F171" s="1">
        <v>6.73</v>
      </c>
      <c r="G171" s="1">
        <v>5.26</v>
      </c>
      <c r="H171" s="13">
        <v>0.0551</v>
      </c>
      <c r="I171" s="13">
        <v>0.0431</v>
      </c>
      <c r="J171" s="8">
        <v>0.0257</v>
      </c>
      <c r="K171" s="8">
        <f t="shared" si="8"/>
        <v>0.0294</v>
      </c>
      <c r="L171" s="9" t="b">
        <v>0</v>
      </c>
    </row>
    <row r="172" ht="17.55" spans="1:12">
      <c r="A172" s="2" t="s">
        <v>55</v>
      </c>
      <c r="B172" s="2" t="s">
        <v>56</v>
      </c>
      <c r="C172" s="1">
        <v>2024</v>
      </c>
      <c r="D172" s="1">
        <v>0.286</v>
      </c>
      <c r="E172" s="1">
        <v>68.92</v>
      </c>
      <c r="F172" s="1">
        <v>7.24</v>
      </c>
      <c r="G172" s="1">
        <v>5.75</v>
      </c>
      <c r="H172" s="13">
        <v>0.0497</v>
      </c>
      <c r="I172" s="13">
        <v>0.0395</v>
      </c>
      <c r="J172" s="8">
        <v>0.0168</v>
      </c>
      <c r="K172" s="8">
        <f t="shared" si="8"/>
        <v>0.0329</v>
      </c>
      <c r="L172" s="9" t="b">
        <v>0</v>
      </c>
    </row>
    <row r="173" ht="17.55" spans="1:12">
      <c r="A173" s="2" t="s">
        <v>55</v>
      </c>
      <c r="B173" s="2" t="s">
        <v>56</v>
      </c>
      <c r="C173" s="1">
        <v>2025</v>
      </c>
      <c r="D173" s="1">
        <v>0.228</v>
      </c>
      <c r="E173" s="1">
        <v>55.06</v>
      </c>
      <c r="F173" s="1">
        <v>6.78</v>
      </c>
      <c r="G173" s="1">
        <v>5.27</v>
      </c>
      <c r="H173" s="13">
        <v>0.0433</v>
      </c>
      <c r="I173" s="13">
        <v>0.0336</v>
      </c>
      <c r="J173" s="8">
        <v>0.0185</v>
      </c>
      <c r="K173" s="8">
        <f t="shared" si="8"/>
        <v>0.0248</v>
      </c>
      <c r="L173" s="9" t="b">
        <v>0</v>
      </c>
    </row>
    <row r="174" ht="17.55" spans="1:12">
      <c r="A174" s="2" t="s">
        <v>57</v>
      </c>
      <c r="B174" s="2" t="s">
        <v>58</v>
      </c>
      <c r="C174" s="1">
        <v>2022</v>
      </c>
      <c r="D174" s="1">
        <v>1</v>
      </c>
      <c r="E174" s="1">
        <v>30.5</v>
      </c>
      <c r="F174" s="1">
        <v>36.04</v>
      </c>
      <c r="G174" s="1">
        <v>17.41</v>
      </c>
      <c r="H174" s="13">
        <v>0.0575</v>
      </c>
      <c r="I174" s="13">
        <v>0.0278</v>
      </c>
      <c r="J174" s="8">
        <v>0.0284</v>
      </c>
      <c r="K174" s="8">
        <f t="shared" si="8"/>
        <v>0.0291</v>
      </c>
      <c r="L174" s="9" t="b">
        <v>0</v>
      </c>
    </row>
    <row r="175" ht="17.55" spans="1:12">
      <c r="A175" s="2" t="s">
        <v>57</v>
      </c>
      <c r="B175" s="2" t="s">
        <v>58</v>
      </c>
      <c r="C175" s="1">
        <v>2023</v>
      </c>
      <c r="D175" s="1">
        <v>1</v>
      </c>
      <c r="E175" s="1">
        <v>40.51</v>
      </c>
      <c r="F175" s="1">
        <v>32.15</v>
      </c>
      <c r="G175" s="1">
        <v>18.22</v>
      </c>
      <c r="H175" s="13">
        <v>0.0549</v>
      </c>
      <c r="I175" s="13">
        <v>0.0311</v>
      </c>
      <c r="J175" s="8">
        <v>0.0257</v>
      </c>
      <c r="K175" s="8">
        <f t="shared" si="8"/>
        <v>0.0292</v>
      </c>
      <c r="L175" s="9" t="b">
        <v>0</v>
      </c>
    </row>
    <row r="176" ht="17.55" spans="1:12">
      <c r="A176" s="2" t="s">
        <v>57</v>
      </c>
      <c r="B176" s="2" t="s">
        <v>58</v>
      </c>
      <c r="C176" s="1">
        <v>2024</v>
      </c>
      <c r="D176" s="1">
        <v>1.4</v>
      </c>
      <c r="E176" s="1">
        <v>48.15</v>
      </c>
      <c r="F176" s="1">
        <v>35.78</v>
      </c>
      <c r="G176" s="1">
        <v>22.35</v>
      </c>
      <c r="H176" s="13">
        <v>0.0626</v>
      </c>
      <c r="I176" s="13">
        <v>0.0391</v>
      </c>
      <c r="J176" s="8">
        <v>0.0168</v>
      </c>
      <c r="K176" s="8">
        <f t="shared" si="8"/>
        <v>0.0458</v>
      </c>
      <c r="L176" s="9" t="b">
        <v>0</v>
      </c>
    </row>
    <row r="177" ht="17.55" spans="1:12">
      <c r="A177" s="2" t="s">
        <v>57</v>
      </c>
      <c r="B177" s="2" t="s">
        <v>58</v>
      </c>
      <c r="C177" s="1">
        <v>2025</v>
      </c>
      <c r="D177" s="1">
        <v>1.6</v>
      </c>
      <c r="E177" s="1">
        <v>50</v>
      </c>
      <c r="F177" s="1">
        <v>37.81</v>
      </c>
      <c r="G177" s="1">
        <v>28.6</v>
      </c>
      <c r="H177" s="13">
        <v>0.0559</v>
      </c>
      <c r="I177" s="13">
        <v>0.0423</v>
      </c>
      <c r="J177" s="8">
        <v>0.0185</v>
      </c>
      <c r="K177" s="8">
        <f t="shared" si="8"/>
        <v>0.0374</v>
      </c>
      <c r="L177" s="9" t="b">
        <v>0</v>
      </c>
    </row>
    <row r="178" ht="17.55" spans="1:12">
      <c r="A178" s="2" t="s">
        <v>59</v>
      </c>
      <c r="B178" s="2" t="s">
        <v>60</v>
      </c>
      <c r="C178" s="1">
        <v>2018</v>
      </c>
      <c r="D178" s="1">
        <v>0.2506</v>
      </c>
      <c r="E178" s="1">
        <v>30.56</v>
      </c>
      <c r="F178" s="1">
        <v>6</v>
      </c>
      <c r="G178" s="1">
        <v>4.7</v>
      </c>
      <c r="H178" s="13">
        <v>0.0533</v>
      </c>
      <c r="I178" s="13">
        <v>0.0418</v>
      </c>
      <c r="J178" s="8">
        <v>0.0323</v>
      </c>
      <c r="K178" s="8">
        <f t="shared" si="8"/>
        <v>0.021</v>
      </c>
      <c r="L178" s="9" t="b">
        <v>0</v>
      </c>
    </row>
    <row r="179" ht="17.55" spans="1:12">
      <c r="A179" s="2" t="s">
        <v>59</v>
      </c>
      <c r="B179" s="2" t="s">
        <v>60</v>
      </c>
      <c r="C179" s="1">
        <v>2019</v>
      </c>
      <c r="D179" s="1">
        <v>0.2628</v>
      </c>
      <c r="E179" s="1">
        <v>30.56</v>
      </c>
      <c r="F179" s="1">
        <v>6.18</v>
      </c>
      <c r="G179" s="1">
        <v>5.02</v>
      </c>
      <c r="H179" s="13">
        <v>0.0523</v>
      </c>
      <c r="I179" s="13">
        <v>0.0425</v>
      </c>
      <c r="J179" s="8">
        <v>0.0314</v>
      </c>
      <c r="K179" s="8">
        <f t="shared" si="8"/>
        <v>0.0209</v>
      </c>
      <c r="L179" s="9" t="b">
        <v>0</v>
      </c>
    </row>
    <row r="180" ht="17.55" spans="1:12">
      <c r="A180" s="2" t="s">
        <v>59</v>
      </c>
      <c r="B180" s="2" t="s">
        <v>60</v>
      </c>
      <c r="C180" s="1">
        <v>2020</v>
      </c>
      <c r="D180" s="1">
        <v>0.266</v>
      </c>
      <c r="E180" s="1">
        <v>30.93</v>
      </c>
      <c r="F180" s="1">
        <v>5.77</v>
      </c>
      <c r="G180" s="1">
        <v>4.76</v>
      </c>
      <c r="H180" s="13">
        <v>0.0559</v>
      </c>
      <c r="I180" s="13">
        <v>0.0461</v>
      </c>
      <c r="J180" s="8">
        <v>0.0317</v>
      </c>
      <c r="K180" s="8">
        <f t="shared" si="8"/>
        <v>0.0242</v>
      </c>
      <c r="L180" s="9" t="b">
        <v>0</v>
      </c>
    </row>
    <row r="181" ht="17.55" spans="1:12">
      <c r="A181" s="2" t="s">
        <v>59</v>
      </c>
      <c r="B181" s="2" t="s">
        <v>60</v>
      </c>
      <c r="C181" s="1">
        <v>2021</v>
      </c>
      <c r="D181" s="1">
        <v>0.266</v>
      </c>
      <c r="E181" s="1">
        <v>28</v>
      </c>
      <c r="F181" s="1">
        <v>5.7</v>
      </c>
      <c r="G181" s="1">
        <v>4.27</v>
      </c>
      <c r="H181" s="13">
        <v>0.0623</v>
      </c>
      <c r="I181" s="13">
        <v>0.0467</v>
      </c>
      <c r="J181" s="8">
        <v>0.0278</v>
      </c>
      <c r="K181" s="8">
        <f t="shared" si="8"/>
        <v>0.0345</v>
      </c>
      <c r="L181" s="9" t="b">
        <v>0</v>
      </c>
    </row>
    <row r="182" ht="17.55" spans="1:12">
      <c r="A182" s="2" t="s">
        <v>59</v>
      </c>
      <c r="B182" s="2" t="s">
        <v>60</v>
      </c>
      <c r="C182" s="1">
        <v>2022</v>
      </c>
      <c r="D182" s="1">
        <v>0.3035</v>
      </c>
      <c r="E182" s="1">
        <v>31.29</v>
      </c>
      <c r="F182" s="1">
        <v>5.6</v>
      </c>
      <c r="G182" s="1">
        <v>4.03</v>
      </c>
      <c r="H182" s="13">
        <v>0.0753</v>
      </c>
      <c r="I182" s="13">
        <v>0.0542</v>
      </c>
      <c r="J182" s="8">
        <v>0.0284</v>
      </c>
      <c r="K182" s="8">
        <f t="shared" si="8"/>
        <v>0.0469</v>
      </c>
      <c r="L182" s="9" t="b">
        <v>0</v>
      </c>
    </row>
    <row r="183" ht="17.55" spans="1:12">
      <c r="A183" s="2" t="s">
        <v>59</v>
      </c>
      <c r="B183" s="2" t="s">
        <v>60</v>
      </c>
      <c r="C183" s="1">
        <v>2023</v>
      </c>
      <c r="D183" s="1">
        <v>0.3064</v>
      </c>
      <c r="E183" s="1">
        <v>31.27</v>
      </c>
      <c r="F183" s="1">
        <v>6.25</v>
      </c>
      <c r="G183" s="1">
        <v>4.27</v>
      </c>
      <c r="H183" s="13">
        <v>0.0718</v>
      </c>
      <c r="I183" s="13">
        <v>0.049</v>
      </c>
      <c r="J183" s="8">
        <v>0.0257</v>
      </c>
      <c r="K183" s="8">
        <f t="shared" si="8"/>
        <v>0.0461</v>
      </c>
      <c r="L183" s="9" t="b">
        <v>0</v>
      </c>
    </row>
    <row r="184" ht="17.55" spans="1:12">
      <c r="A184" s="2" t="s">
        <v>59</v>
      </c>
      <c r="B184" s="2" t="s">
        <v>60</v>
      </c>
      <c r="C184" s="1">
        <v>2024</v>
      </c>
      <c r="D184" s="1">
        <v>0.308</v>
      </c>
      <c r="E184" s="1">
        <v>31.43</v>
      </c>
      <c r="F184" s="1">
        <v>8.36</v>
      </c>
      <c r="G184" s="1">
        <v>5.45</v>
      </c>
      <c r="H184" s="13">
        <v>0.0565</v>
      </c>
      <c r="I184" s="13">
        <v>0.0368</v>
      </c>
      <c r="J184" s="8">
        <v>0.0168</v>
      </c>
      <c r="K184" s="8">
        <f t="shared" si="8"/>
        <v>0.0397</v>
      </c>
      <c r="L184" s="9" t="b">
        <v>0</v>
      </c>
    </row>
    <row r="185" ht="17.55" spans="1:12">
      <c r="A185" s="2" t="s">
        <v>59</v>
      </c>
      <c r="B185" s="2" t="s">
        <v>60</v>
      </c>
      <c r="C185" s="1">
        <v>2025</v>
      </c>
      <c r="D185" s="1">
        <v>0.1414</v>
      </c>
      <c r="E185" s="1">
        <v>30</v>
      </c>
      <c r="F185" s="1">
        <v>8.36</v>
      </c>
      <c r="G185" s="1">
        <v>7.07</v>
      </c>
      <c r="H185" s="13">
        <v>0.02</v>
      </c>
      <c r="I185" s="13">
        <v>0.0169</v>
      </c>
      <c r="J185" s="8">
        <v>0.0185</v>
      </c>
      <c r="K185" s="8">
        <f t="shared" si="8"/>
        <v>0.0015</v>
      </c>
      <c r="L185" s="9" t="b">
        <v>0</v>
      </c>
    </row>
    <row r="186" ht="17.55" spans="1:12">
      <c r="A186" s="2" t="s">
        <v>61</v>
      </c>
      <c r="B186" s="2" t="s">
        <v>62</v>
      </c>
      <c r="C186" s="1">
        <v>2018</v>
      </c>
      <c r="D186" s="1">
        <v>0.1788</v>
      </c>
      <c r="E186" s="1">
        <v>61.66</v>
      </c>
      <c r="F186" s="1">
        <v>8.7</v>
      </c>
      <c r="G186" s="1">
        <v>6.02</v>
      </c>
      <c r="H186" s="13">
        <v>0.0297</v>
      </c>
      <c r="I186" s="13">
        <v>0.0206</v>
      </c>
      <c r="J186" s="8">
        <v>0.0323</v>
      </c>
      <c r="K186" s="8">
        <f t="shared" si="8"/>
        <v>-0.0026</v>
      </c>
      <c r="L186" s="9" t="b">
        <v>0</v>
      </c>
    </row>
    <row r="187" ht="17.55" spans="1:12">
      <c r="A187" s="2" t="s">
        <v>61</v>
      </c>
      <c r="B187" s="2" t="s">
        <v>62</v>
      </c>
      <c r="C187" s="1">
        <v>2019</v>
      </c>
      <c r="D187" s="1">
        <v>0.1437</v>
      </c>
      <c r="E187" s="1">
        <v>57.48</v>
      </c>
      <c r="F187" s="1">
        <v>8.3</v>
      </c>
      <c r="G187" s="1">
        <v>5.84</v>
      </c>
      <c r="H187" s="13">
        <v>0.0246</v>
      </c>
      <c r="I187" s="13">
        <v>0.0173</v>
      </c>
      <c r="J187" s="8">
        <v>0.0314</v>
      </c>
      <c r="K187" s="8">
        <f t="shared" si="8"/>
        <v>-0.0068</v>
      </c>
      <c r="L187" s="9" t="b">
        <v>0</v>
      </c>
    </row>
    <row r="188" ht="17.55" spans="1:12">
      <c r="A188" s="2" t="s">
        <v>61</v>
      </c>
      <c r="B188" s="2" t="s">
        <v>62</v>
      </c>
      <c r="C188" s="1">
        <v>2020</v>
      </c>
      <c r="D188" s="1">
        <v>0.1748</v>
      </c>
      <c r="E188" s="1">
        <v>174.8</v>
      </c>
      <c r="F188" s="1">
        <v>6.48</v>
      </c>
      <c r="G188" s="1">
        <v>4.22</v>
      </c>
      <c r="H188" s="13">
        <v>0.0414</v>
      </c>
      <c r="I188" s="13">
        <v>0.027</v>
      </c>
      <c r="J188" s="8">
        <v>0.0317</v>
      </c>
      <c r="K188" s="8">
        <f t="shared" si="8"/>
        <v>0.0097</v>
      </c>
      <c r="L188" s="9" t="b">
        <v>0</v>
      </c>
    </row>
    <row r="189" ht="17.55" spans="1:12">
      <c r="A189" s="2" t="s">
        <v>61</v>
      </c>
      <c r="B189" s="2" t="s">
        <v>62</v>
      </c>
      <c r="C189" s="1">
        <v>2021</v>
      </c>
      <c r="D189" s="1">
        <v>0.2266</v>
      </c>
      <c r="E189" s="1">
        <v>45.32</v>
      </c>
      <c r="F189" s="1">
        <v>7.32</v>
      </c>
      <c r="G189" s="1">
        <v>4.04</v>
      </c>
      <c r="H189" s="13">
        <v>0.0561</v>
      </c>
      <c r="I189" s="13">
        <v>0.031</v>
      </c>
      <c r="J189" s="8">
        <v>0.0278</v>
      </c>
      <c r="K189" s="8">
        <f t="shared" si="8"/>
        <v>0.0283</v>
      </c>
      <c r="L189" s="9" t="b">
        <v>0</v>
      </c>
    </row>
    <row r="190" ht="17.55" spans="1:12">
      <c r="A190" s="2" t="s">
        <v>61</v>
      </c>
      <c r="B190" s="2" t="s">
        <v>62</v>
      </c>
      <c r="C190" s="1">
        <v>2022</v>
      </c>
      <c r="D190" s="1">
        <v>0.4226</v>
      </c>
      <c r="E190" s="1">
        <v>52.17</v>
      </c>
      <c r="F190" s="1">
        <v>8.45</v>
      </c>
      <c r="G190" s="1">
        <v>5.06</v>
      </c>
      <c r="H190" s="13">
        <v>0.0835</v>
      </c>
      <c r="I190" s="13">
        <v>0.05</v>
      </c>
      <c r="J190" s="8">
        <v>0.0284</v>
      </c>
      <c r="K190" s="8">
        <f t="shared" si="8"/>
        <v>0.0551</v>
      </c>
      <c r="L190" s="9" t="b">
        <v>0</v>
      </c>
    </row>
    <row r="191" ht="17.55" spans="1:12">
      <c r="A191" s="2" t="s">
        <v>61</v>
      </c>
      <c r="B191" s="2" t="s">
        <v>62</v>
      </c>
      <c r="C191" s="1">
        <v>2023</v>
      </c>
      <c r="D191" s="1">
        <v>0.45</v>
      </c>
      <c r="E191" s="1">
        <v>51.14</v>
      </c>
      <c r="F191" s="1">
        <v>9.63</v>
      </c>
      <c r="G191" s="1">
        <v>6.13</v>
      </c>
      <c r="H191" s="13">
        <v>0.0734</v>
      </c>
      <c r="I191" s="13">
        <v>0.0467</v>
      </c>
      <c r="J191" s="8">
        <v>0.0257</v>
      </c>
      <c r="K191" s="8">
        <f t="shared" si="8"/>
        <v>0.0477</v>
      </c>
      <c r="L191" s="9" t="b">
        <v>0</v>
      </c>
    </row>
    <row r="192" ht="17.55" spans="1:12">
      <c r="A192" s="2" t="s">
        <v>61</v>
      </c>
      <c r="B192" s="2" t="s">
        <v>62</v>
      </c>
      <c r="C192" s="1">
        <v>2024</v>
      </c>
      <c r="D192" s="1">
        <v>0.47</v>
      </c>
      <c r="E192" s="1">
        <v>52.22</v>
      </c>
      <c r="F192" s="1">
        <v>11.04</v>
      </c>
      <c r="G192" s="1">
        <v>6.85</v>
      </c>
      <c r="H192" s="13">
        <v>0.0686</v>
      </c>
      <c r="I192" s="13">
        <v>0.0426</v>
      </c>
      <c r="J192" s="8">
        <v>0.0168</v>
      </c>
      <c r="K192" s="8">
        <f t="shared" si="8"/>
        <v>0.0518</v>
      </c>
      <c r="L192" s="9" t="b">
        <v>0</v>
      </c>
    </row>
    <row r="193" ht="17.55" spans="1:12">
      <c r="A193" s="2" t="s">
        <v>61</v>
      </c>
      <c r="B193" s="2" t="s">
        <v>62</v>
      </c>
      <c r="C193" s="1">
        <v>2025</v>
      </c>
      <c r="D193" s="1">
        <v>0.46</v>
      </c>
      <c r="E193" s="1">
        <v>66.67</v>
      </c>
      <c r="F193" s="1">
        <v>11.04</v>
      </c>
      <c r="G193" s="1">
        <v>8.2</v>
      </c>
      <c r="H193" s="13">
        <v>0.0561</v>
      </c>
      <c r="I193" s="13">
        <v>0.0417</v>
      </c>
      <c r="J193" s="8">
        <v>0.0185</v>
      </c>
      <c r="K193" s="8">
        <f t="shared" si="8"/>
        <v>0.0376</v>
      </c>
      <c r="L193" s="9" t="b">
        <v>0</v>
      </c>
    </row>
    <row r="194" ht="17.55" spans="1:12">
      <c r="A194" s="2" t="s">
        <v>63</v>
      </c>
      <c r="B194" s="2" t="s">
        <v>64</v>
      </c>
      <c r="C194" s="1">
        <v>2018</v>
      </c>
      <c r="D194" s="1">
        <v>0.48</v>
      </c>
      <c r="E194" s="1">
        <v>45.58</v>
      </c>
      <c r="F194" s="1">
        <v>45.88</v>
      </c>
      <c r="G194" s="1">
        <v>32.02</v>
      </c>
      <c r="H194" s="13">
        <v>0.015</v>
      </c>
      <c r="I194" s="13">
        <v>0.0105</v>
      </c>
      <c r="J194" s="8">
        <v>0.0323</v>
      </c>
      <c r="K194" s="8">
        <f t="shared" ref="K194:K208" si="9">H194-J194</f>
        <v>-0.0173</v>
      </c>
      <c r="L194" s="9" t="b">
        <v>0</v>
      </c>
    </row>
    <row r="195" ht="17.55" spans="1:12">
      <c r="A195" s="2" t="s">
        <v>63</v>
      </c>
      <c r="B195" s="2" t="s">
        <v>64</v>
      </c>
      <c r="C195" s="1">
        <v>2019</v>
      </c>
      <c r="D195" s="1">
        <v>0.55</v>
      </c>
      <c r="E195" s="1">
        <v>45.83</v>
      </c>
      <c r="F195" s="1">
        <v>54.5</v>
      </c>
      <c r="G195" s="1">
        <v>37.05</v>
      </c>
      <c r="H195" s="13">
        <v>0.0148</v>
      </c>
      <c r="I195" s="13">
        <v>0.0101</v>
      </c>
      <c r="J195" s="8">
        <v>0.0314</v>
      </c>
      <c r="K195" s="8">
        <f t="shared" si="9"/>
        <v>-0.0166</v>
      </c>
      <c r="L195" s="9" t="b">
        <v>0</v>
      </c>
    </row>
    <row r="196" ht="17.55" spans="1:12">
      <c r="A196" s="2" t="s">
        <v>63</v>
      </c>
      <c r="B196" s="2" t="s">
        <v>64</v>
      </c>
      <c r="C196" s="1">
        <v>2020</v>
      </c>
      <c r="D196" s="1">
        <v>0.55</v>
      </c>
      <c r="E196" s="1">
        <v>33.76</v>
      </c>
      <c r="F196" s="1">
        <v>84.6</v>
      </c>
      <c r="G196" s="1">
        <v>40.01</v>
      </c>
      <c r="H196" s="13">
        <v>0.0137</v>
      </c>
      <c r="I196" s="13">
        <v>0.0065</v>
      </c>
      <c r="J196" s="8">
        <v>0.0317</v>
      </c>
      <c r="K196" s="8">
        <f t="shared" si="9"/>
        <v>-0.018</v>
      </c>
      <c r="L196" s="9" t="b">
        <v>0</v>
      </c>
    </row>
    <row r="197" ht="17.55" spans="1:12">
      <c r="A197" s="2" t="s">
        <v>63</v>
      </c>
      <c r="B197" s="2" t="s">
        <v>64</v>
      </c>
      <c r="C197" s="1">
        <v>2021</v>
      </c>
      <c r="D197" s="1">
        <v>0.75</v>
      </c>
      <c r="E197" s="1">
        <v>32.22</v>
      </c>
      <c r="F197" s="1">
        <v>108.9</v>
      </c>
      <c r="G197" s="1">
        <v>53</v>
      </c>
      <c r="H197" s="13">
        <v>0.0142</v>
      </c>
      <c r="I197" s="13">
        <v>0.0069</v>
      </c>
      <c r="J197" s="8">
        <v>0.0278</v>
      </c>
      <c r="K197" s="8">
        <f t="shared" si="9"/>
        <v>-0.0136</v>
      </c>
      <c r="L197" s="9" t="b">
        <v>0</v>
      </c>
    </row>
    <row r="198" ht="17.55" spans="1:12">
      <c r="A198" s="2" t="s">
        <v>63</v>
      </c>
      <c r="B198" s="2" t="s">
        <v>64</v>
      </c>
      <c r="C198" s="1">
        <v>2022</v>
      </c>
      <c r="D198" s="1">
        <v>1.1</v>
      </c>
      <c r="E198" s="1">
        <v>40.21</v>
      </c>
      <c r="F198" s="1">
        <v>119.65</v>
      </c>
      <c r="G198" s="1">
        <v>68</v>
      </c>
      <c r="H198" s="13">
        <v>0.0162</v>
      </c>
      <c r="I198" s="13">
        <v>0.0092</v>
      </c>
      <c r="J198" s="8">
        <v>0.0284</v>
      </c>
      <c r="K198" s="8">
        <f t="shared" si="9"/>
        <v>-0.0122</v>
      </c>
      <c r="L198" s="9" t="b">
        <v>0</v>
      </c>
    </row>
    <row r="199" ht="17.55" spans="1:12">
      <c r="A199" s="2" t="s">
        <v>63</v>
      </c>
      <c r="B199" s="2" t="s">
        <v>64</v>
      </c>
      <c r="C199" s="1">
        <v>2023</v>
      </c>
      <c r="D199" s="1">
        <v>2</v>
      </c>
      <c r="E199" s="1">
        <v>63.71</v>
      </c>
      <c r="F199" s="1">
        <v>118.5</v>
      </c>
      <c r="G199" s="1">
        <v>70</v>
      </c>
      <c r="H199" s="13">
        <v>0.0286</v>
      </c>
      <c r="I199" s="13">
        <v>0.0169</v>
      </c>
      <c r="J199" s="8">
        <v>0.0257</v>
      </c>
      <c r="K199" s="8">
        <f t="shared" si="9"/>
        <v>0.0029</v>
      </c>
      <c r="L199" s="9" t="b">
        <v>0</v>
      </c>
    </row>
    <row r="200" ht="17.55" spans="1:12">
      <c r="A200" s="2" t="s">
        <v>63</v>
      </c>
      <c r="B200" s="2" t="s">
        <v>64</v>
      </c>
      <c r="C200" s="1">
        <v>2024</v>
      </c>
      <c r="D200" s="1">
        <v>2.2</v>
      </c>
      <c r="E200" s="1">
        <v>69.07</v>
      </c>
      <c r="F200" s="1">
        <v>105.8</v>
      </c>
      <c r="G200" s="1">
        <v>68.5</v>
      </c>
      <c r="H200" s="13">
        <v>0.0321</v>
      </c>
      <c r="I200" s="13">
        <v>0.0208</v>
      </c>
      <c r="J200" s="8">
        <v>0.0168</v>
      </c>
      <c r="K200" s="8">
        <f t="shared" si="9"/>
        <v>0.0153</v>
      </c>
      <c r="L200" s="9" t="b">
        <v>0</v>
      </c>
    </row>
    <row r="201" ht="17.55" spans="1:12">
      <c r="A201" s="2" t="s">
        <v>63</v>
      </c>
      <c r="B201" s="2" t="s">
        <v>64</v>
      </c>
      <c r="C201" s="1">
        <v>2025</v>
      </c>
      <c r="D201" s="1">
        <v>2.2</v>
      </c>
      <c r="E201" s="1">
        <v>56.89</v>
      </c>
      <c r="F201" s="1">
        <v>86.18</v>
      </c>
      <c r="G201" s="1">
        <v>53.2</v>
      </c>
      <c r="H201" s="13">
        <v>0.0414</v>
      </c>
      <c r="I201" s="13">
        <v>0.0255</v>
      </c>
      <c r="J201" s="8">
        <v>0.0185</v>
      </c>
      <c r="K201" s="8">
        <f t="shared" si="9"/>
        <v>0.0229</v>
      </c>
      <c r="L201" s="9" t="b">
        <v>0</v>
      </c>
    </row>
    <row r="202" ht="17.55" spans="1:12">
      <c r="A202" s="2" t="s">
        <v>65</v>
      </c>
      <c r="B202" s="2" t="s">
        <v>66</v>
      </c>
      <c r="C202" s="1">
        <v>2019</v>
      </c>
      <c r="D202" s="1">
        <v>0.076</v>
      </c>
      <c r="E202" s="1">
        <v>40.55</v>
      </c>
      <c r="F202" s="1">
        <v>5.03</v>
      </c>
      <c r="G202" s="1">
        <v>3.59</v>
      </c>
      <c r="H202" s="13">
        <v>0.0212</v>
      </c>
      <c r="I202" s="13">
        <v>0.0151</v>
      </c>
      <c r="J202" s="8">
        <v>0.0314</v>
      </c>
      <c r="K202" s="8">
        <f t="shared" si="9"/>
        <v>-0.0102</v>
      </c>
      <c r="L202" s="9" t="b">
        <v>1</v>
      </c>
    </row>
    <row r="203" ht="17.55" spans="1:12">
      <c r="A203" s="2" t="s">
        <v>65</v>
      </c>
      <c r="B203" s="2" t="s">
        <v>66</v>
      </c>
      <c r="C203" s="1">
        <v>2020</v>
      </c>
      <c r="D203" s="1">
        <v>0.08</v>
      </c>
      <c r="E203" s="1">
        <v>42.25</v>
      </c>
      <c r="F203" s="1">
        <v>4.18</v>
      </c>
      <c r="G203" s="1">
        <v>2.91</v>
      </c>
      <c r="H203" s="13">
        <v>0.0275</v>
      </c>
      <c r="I203" s="13">
        <v>0.0191</v>
      </c>
      <c r="J203" s="8">
        <v>0.0317</v>
      </c>
      <c r="K203" s="8">
        <f t="shared" si="9"/>
        <v>-0.0042</v>
      </c>
      <c r="L203" s="9" t="b">
        <v>1</v>
      </c>
    </row>
    <row r="204" ht="17.55" spans="1:12">
      <c r="A204" s="2" t="s">
        <v>65</v>
      </c>
      <c r="B204" s="2" t="s">
        <v>66</v>
      </c>
      <c r="C204" s="1">
        <v>2021</v>
      </c>
      <c r="D204" s="1">
        <v>0.084</v>
      </c>
      <c r="E204" s="1">
        <v>43.44</v>
      </c>
      <c r="F204" s="1">
        <v>3.85</v>
      </c>
      <c r="G204" s="1">
        <v>2.91</v>
      </c>
      <c r="H204" s="13">
        <v>0.0289</v>
      </c>
      <c r="I204" s="13">
        <v>0.0218</v>
      </c>
      <c r="J204" s="8">
        <v>0.0278</v>
      </c>
      <c r="K204" s="8">
        <f t="shared" si="9"/>
        <v>0.0011</v>
      </c>
      <c r="L204" s="9" t="b">
        <v>1</v>
      </c>
    </row>
    <row r="205" ht="17.55" spans="1:12">
      <c r="A205" s="2" t="s">
        <v>65</v>
      </c>
      <c r="B205" s="2" t="s">
        <v>66</v>
      </c>
      <c r="C205" s="1">
        <v>2022</v>
      </c>
      <c r="D205" s="1">
        <v>0.087</v>
      </c>
      <c r="E205" s="1">
        <v>44.09</v>
      </c>
      <c r="F205" s="1">
        <v>3.75</v>
      </c>
      <c r="G205" s="1">
        <v>2.85</v>
      </c>
      <c r="H205" s="13">
        <v>0.0305</v>
      </c>
      <c r="I205" s="13">
        <v>0.0232</v>
      </c>
      <c r="J205" s="8">
        <v>0.0284</v>
      </c>
      <c r="K205" s="8">
        <f t="shared" si="9"/>
        <v>0.0021</v>
      </c>
      <c r="L205" s="9" t="b">
        <v>1</v>
      </c>
    </row>
    <row r="206" ht="17.55" spans="1:12">
      <c r="A206" s="2" t="s">
        <v>65</v>
      </c>
      <c r="B206" s="2" t="s">
        <v>66</v>
      </c>
      <c r="C206" s="1">
        <v>2023</v>
      </c>
      <c r="D206" s="1">
        <v>0.094</v>
      </c>
      <c r="E206" s="1">
        <v>44.26</v>
      </c>
      <c r="F206" s="1">
        <v>4.18</v>
      </c>
      <c r="G206" s="1">
        <v>3.15</v>
      </c>
      <c r="H206" s="13">
        <v>0.0298</v>
      </c>
      <c r="I206" s="13">
        <v>0.0225</v>
      </c>
      <c r="J206" s="8">
        <v>0.0257</v>
      </c>
      <c r="K206" s="8">
        <f t="shared" si="9"/>
        <v>0.0041</v>
      </c>
      <c r="L206" s="9" t="b">
        <v>1</v>
      </c>
    </row>
    <row r="207" ht="17.55" spans="1:12">
      <c r="A207" s="2" t="s">
        <v>65</v>
      </c>
      <c r="B207" s="2" t="s">
        <v>66</v>
      </c>
      <c r="C207" s="1">
        <v>2024</v>
      </c>
      <c r="D207" s="1">
        <v>0.095</v>
      </c>
      <c r="E207" s="1">
        <v>44.36</v>
      </c>
      <c r="F207" s="1">
        <v>5.05</v>
      </c>
      <c r="G207" s="1">
        <v>3.8</v>
      </c>
      <c r="H207" s="13">
        <v>0.025</v>
      </c>
      <c r="I207" s="13">
        <v>0.0188</v>
      </c>
      <c r="J207" s="8">
        <v>0.0168</v>
      </c>
      <c r="K207" s="8">
        <f t="shared" si="9"/>
        <v>0.0082</v>
      </c>
      <c r="L207" s="9" t="b">
        <v>1</v>
      </c>
    </row>
    <row r="208" ht="17.55" spans="1:12">
      <c r="A208" s="2" t="s">
        <v>65</v>
      </c>
      <c r="B208" s="2" t="s">
        <v>66</v>
      </c>
      <c r="C208" s="1">
        <v>2025</v>
      </c>
      <c r="D208" s="1">
        <v>0.095</v>
      </c>
      <c r="E208" s="1">
        <v>44.36</v>
      </c>
      <c r="F208" s="1">
        <v>4.2</v>
      </c>
      <c r="G208" s="1">
        <v>3.33</v>
      </c>
      <c r="H208" s="13">
        <v>0.0285</v>
      </c>
      <c r="I208" s="13">
        <v>0.0226</v>
      </c>
      <c r="J208" s="8">
        <v>0.0185</v>
      </c>
      <c r="K208" s="8">
        <f t="shared" si="9"/>
        <v>0.01</v>
      </c>
      <c r="L208" s="9" t="b">
        <v>1</v>
      </c>
    </row>
    <row r="209" ht="17.55" spans="1:12">
      <c r="A209" s="2" t="s">
        <v>67</v>
      </c>
      <c r="B209" s="2" t="s">
        <v>68</v>
      </c>
      <c r="C209" s="1">
        <v>2018</v>
      </c>
      <c r="D209" s="1">
        <v>0.112</v>
      </c>
      <c r="E209" s="1">
        <v>36.84</v>
      </c>
      <c r="F209" s="1">
        <v>7.85</v>
      </c>
      <c r="G209" s="1">
        <v>5.62</v>
      </c>
      <c r="H209" s="13">
        <v>0.0199</v>
      </c>
      <c r="I209" s="13">
        <v>0.0143</v>
      </c>
      <c r="J209" s="8">
        <v>0.0323</v>
      </c>
      <c r="K209" s="8">
        <f t="shared" ref="K209:K219" si="10">H209-J209</f>
        <v>-0.0124</v>
      </c>
      <c r="L209" s="9" t="b">
        <v>1</v>
      </c>
    </row>
    <row r="210" ht="17.55" spans="1:12">
      <c r="A210" s="2" t="s">
        <v>67</v>
      </c>
      <c r="B210" s="2" t="s">
        <v>68</v>
      </c>
      <c r="C210" s="1">
        <v>2019</v>
      </c>
      <c r="D210" s="1">
        <v>0.12</v>
      </c>
      <c r="E210" s="1">
        <v>39.22</v>
      </c>
      <c r="F210" s="1">
        <v>8.23</v>
      </c>
      <c r="G210" s="1">
        <v>5.98</v>
      </c>
      <c r="H210" s="13">
        <v>0.0201</v>
      </c>
      <c r="I210" s="13">
        <v>0.0146</v>
      </c>
      <c r="J210" s="8">
        <v>0.0314</v>
      </c>
      <c r="K210" s="8">
        <f t="shared" si="10"/>
        <v>-0.0113</v>
      </c>
      <c r="L210" s="9" t="b">
        <v>1</v>
      </c>
    </row>
    <row r="211" ht="17.55" spans="1:12">
      <c r="A211" s="2" t="s">
        <v>67</v>
      </c>
      <c r="B211" s="2" t="s">
        <v>68</v>
      </c>
      <c r="C211" s="1">
        <v>2020</v>
      </c>
      <c r="D211" s="1">
        <v>0.122</v>
      </c>
      <c r="E211" s="1">
        <v>32.19</v>
      </c>
      <c r="F211" s="1">
        <v>7.68</v>
      </c>
      <c r="G211" s="1">
        <v>5.35</v>
      </c>
      <c r="H211" s="13">
        <v>0.0228</v>
      </c>
      <c r="I211" s="13">
        <v>0.0159</v>
      </c>
      <c r="J211" s="8">
        <v>0.0317</v>
      </c>
      <c r="K211" s="8">
        <f t="shared" si="10"/>
        <v>-0.0089</v>
      </c>
      <c r="L211" s="9" t="b">
        <v>1</v>
      </c>
    </row>
    <row r="212" ht="17.55" spans="1:12">
      <c r="A212" s="2" t="s">
        <v>67</v>
      </c>
      <c r="B212" s="2" t="s">
        <v>68</v>
      </c>
      <c r="C212" s="1">
        <v>2021</v>
      </c>
      <c r="D212" s="1">
        <v>0.13</v>
      </c>
      <c r="E212" s="1">
        <v>28.89</v>
      </c>
      <c r="F212" s="1">
        <v>8.56</v>
      </c>
      <c r="G212" s="1">
        <v>6.12</v>
      </c>
      <c r="H212" s="13">
        <v>0.0212</v>
      </c>
      <c r="I212" s="13">
        <v>0.0152</v>
      </c>
      <c r="J212" s="8">
        <v>0.0278</v>
      </c>
      <c r="K212" s="8">
        <f t="shared" si="10"/>
        <v>-0.0066</v>
      </c>
      <c r="L212" s="9" t="b">
        <v>1</v>
      </c>
    </row>
    <row r="213" ht="17.55" spans="1:12">
      <c r="A213" s="2" t="s">
        <v>67</v>
      </c>
      <c r="B213" s="2" t="s">
        <v>68</v>
      </c>
      <c r="C213" s="1">
        <v>2022</v>
      </c>
      <c r="D213" s="1">
        <v>0.15</v>
      </c>
      <c r="E213" s="1">
        <v>32.05</v>
      </c>
      <c r="F213" s="1">
        <v>9.88</v>
      </c>
      <c r="G213" s="1">
        <v>6.85</v>
      </c>
      <c r="H213" s="13">
        <v>0.0219</v>
      </c>
      <c r="I213" s="13">
        <v>0.0152</v>
      </c>
      <c r="J213" s="8">
        <v>0.0284</v>
      </c>
      <c r="K213" s="8">
        <f t="shared" si="10"/>
        <v>-0.0065</v>
      </c>
      <c r="L213" s="9" t="b">
        <v>1</v>
      </c>
    </row>
    <row r="214" ht="17.55" spans="1:12">
      <c r="A214" s="2" t="s">
        <v>67</v>
      </c>
      <c r="B214" s="2" t="s">
        <v>68</v>
      </c>
      <c r="C214" s="1">
        <v>2023</v>
      </c>
      <c r="D214" s="1">
        <v>0.17</v>
      </c>
      <c r="E214" s="1">
        <v>30.69</v>
      </c>
      <c r="F214" s="1">
        <v>12.17</v>
      </c>
      <c r="G214" s="1">
        <v>7.98</v>
      </c>
      <c r="H214" s="13">
        <v>0.0213</v>
      </c>
      <c r="I214" s="13">
        <v>0.014</v>
      </c>
      <c r="J214" s="8">
        <v>0.0257</v>
      </c>
      <c r="K214" s="8">
        <f t="shared" si="10"/>
        <v>-0.0044</v>
      </c>
      <c r="L214" s="9" t="b">
        <v>1</v>
      </c>
    </row>
    <row r="215" ht="17.55" spans="1:12">
      <c r="A215" s="2" t="s">
        <v>67</v>
      </c>
      <c r="B215" s="2" t="s">
        <v>68</v>
      </c>
      <c r="C215" s="1">
        <v>2024</v>
      </c>
      <c r="D215" s="1">
        <v>0.215</v>
      </c>
      <c r="E215" s="1">
        <v>41.92</v>
      </c>
      <c r="F215" s="1">
        <v>11.85</v>
      </c>
      <c r="G215" s="1">
        <v>8.35</v>
      </c>
      <c r="H215" s="13">
        <v>0.0257</v>
      </c>
      <c r="I215" s="13">
        <v>0.0181</v>
      </c>
      <c r="J215" s="8">
        <v>0.0168</v>
      </c>
      <c r="K215" s="8">
        <f t="shared" si="10"/>
        <v>0.0089</v>
      </c>
      <c r="L215" s="9" t="b">
        <v>1</v>
      </c>
    </row>
    <row r="216" ht="17.55" spans="1:12">
      <c r="A216" s="2" t="s">
        <v>67</v>
      </c>
      <c r="B216" s="2" t="s">
        <v>68</v>
      </c>
      <c r="C216" s="1">
        <v>2025</v>
      </c>
      <c r="D216" s="1">
        <v>0.18</v>
      </c>
      <c r="E216" s="1">
        <v>46.27</v>
      </c>
      <c r="F216" s="1">
        <v>10.14</v>
      </c>
      <c r="G216" s="1">
        <v>8.35</v>
      </c>
      <c r="H216" s="13">
        <v>0.0216</v>
      </c>
      <c r="I216" s="13">
        <v>0.0178</v>
      </c>
      <c r="J216" s="8">
        <v>0.0185</v>
      </c>
      <c r="K216" s="8">
        <f t="shared" si="10"/>
        <v>0.0031</v>
      </c>
      <c r="L216" s="9" t="b">
        <v>1</v>
      </c>
    </row>
    <row r="217" ht="17.55" spans="1:12">
      <c r="A217" s="2" t="s">
        <v>69</v>
      </c>
      <c r="B217" s="2" t="s">
        <v>70</v>
      </c>
      <c r="C217" s="1">
        <v>2018</v>
      </c>
      <c r="D217" s="1">
        <v>0.08</v>
      </c>
      <c r="E217" s="1">
        <v>109.59</v>
      </c>
      <c r="F217" s="1">
        <v>3.28</v>
      </c>
      <c r="G217" s="1">
        <v>2.35</v>
      </c>
      <c r="H217" s="13">
        <v>0.034</v>
      </c>
      <c r="I217" s="13">
        <v>0.0244</v>
      </c>
      <c r="J217" s="8">
        <v>0.0323</v>
      </c>
      <c r="K217" s="8">
        <f t="shared" si="10"/>
        <v>0.0017</v>
      </c>
      <c r="L217" s="9" t="b">
        <v>1</v>
      </c>
    </row>
    <row r="218" ht="17.55" spans="1:12">
      <c r="A218" s="2" t="s">
        <v>69</v>
      </c>
      <c r="B218" s="2" t="s">
        <v>70</v>
      </c>
      <c r="C218" s="1">
        <v>2019</v>
      </c>
      <c r="D218" s="1">
        <v>0.05</v>
      </c>
      <c r="E218" s="1">
        <v>61.73</v>
      </c>
      <c r="F218" s="1">
        <v>3.15</v>
      </c>
      <c r="G218" s="1">
        <v>2.42</v>
      </c>
      <c r="H218" s="13">
        <v>0.0207</v>
      </c>
      <c r="I218" s="13">
        <v>0.0159</v>
      </c>
      <c r="J218" s="8">
        <v>0.0314</v>
      </c>
      <c r="K218" s="8">
        <f t="shared" si="10"/>
        <v>-0.0107</v>
      </c>
      <c r="L218" s="9" t="b">
        <v>1</v>
      </c>
    </row>
    <row r="219" ht="17.55" spans="1:12">
      <c r="A219" s="2" t="s">
        <v>69</v>
      </c>
      <c r="B219" s="2" t="s">
        <v>70</v>
      </c>
      <c r="C219" s="1">
        <v>2020</v>
      </c>
      <c r="D219" s="1">
        <v>0.04</v>
      </c>
      <c r="E219" s="1">
        <v>18.35</v>
      </c>
      <c r="F219" s="1">
        <v>2.78</v>
      </c>
      <c r="G219" s="1">
        <v>2.06</v>
      </c>
      <c r="H219" s="13">
        <v>0.0194</v>
      </c>
      <c r="I219" s="13">
        <v>0.0144</v>
      </c>
      <c r="J219" s="8">
        <v>0.0317</v>
      </c>
      <c r="K219" s="8">
        <f t="shared" si="10"/>
        <v>-0.0123</v>
      </c>
      <c r="L219" s="9" t="b">
        <v>1</v>
      </c>
    </row>
    <row r="220" ht="17.55" spans="1:12">
      <c r="A220" s="2" t="s">
        <v>69</v>
      </c>
      <c r="B220" s="2" t="s">
        <v>70</v>
      </c>
      <c r="C220" s="1">
        <v>2021</v>
      </c>
      <c r="D220" s="1">
        <v>0</v>
      </c>
      <c r="E220" s="1">
        <v>0</v>
      </c>
      <c r="F220" s="1">
        <v>3.02</v>
      </c>
      <c r="G220" s="1">
        <v>2.28</v>
      </c>
      <c r="H220" s="1">
        <v>0</v>
      </c>
      <c r="I220" s="1">
        <v>0</v>
      </c>
      <c r="J220" s="8">
        <v>0.0278</v>
      </c>
      <c r="K220" s="8">
        <v>0</v>
      </c>
      <c r="L220" s="9" t="b">
        <v>1</v>
      </c>
    </row>
    <row r="221" ht="17.55" spans="1:12">
      <c r="A221" s="2" t="s">
        <v>69</v>
      </c>
      <c r="B221" s="2" t="s">
        <v>70</v>
      </c>
      <c r="C221" s="1">
        <v>2022</v>
      </c>
      <c r="D221" s="1">
        <v>0.1</v>
      </c>
      <c r="E221" s="1">
        <v>64.94</v>
      </c>
      <c r="F221" s="1">
        <v>4.38</v>
      </c>
      <c r="G221" s="1">
        <v>2.95</v>
      </c>
      <c r="H221" s="13">
        <v>0.0339</v>
      </c>
      <c r="I221" s="13">
        <v>0.0228</v>
      </c>
      <c r="J221" s="8">
        <v>0.0284</v>
      </c>
      <c r="K221" s="8">
        <f>H221-J221</f>
        <v>0.0055</v>
      </c>
      <c r="L221" s="9" t="b">
        <v>1</v>
      </c>
    </row>
    <row r="222" ht="17.55" spans="1:12">
      <c r="A222" s="2" t="s">
        <v>69</v>
      </c>
      <c r="B222" s="2" t="s">
        <v>70</v>
      </c>
      <c r="C222" s="1">
        <v>2023</v>
      </c>
      <c r="D222" s="1">
        <v>0.12</v>
      </c>
      <c r="E222" s="1">
        <v>38.22</v>
      </c>
      <c r="F222" s="1">
        <v>5.25</v>
      </c>
      <c r="G222" s="1">
        <v>3.72</v>
      </c>
      <c r="H222" s="13">
        <v>0.0323</v>
      </c>
      <c r="I222" s="13">
        <v>0.0229</v>
      </c>
      <c r="J222" s="8">
        <v>0.0257</v>
      </c>
      <c r="K222" s="8">
        <f>H222-J222</f>
        <v>0.0066</v>
      </c>
      <c r="L222" s="9" t="b">
        <v>1</v>
      </c>
    </row>
    <row r="223" ht="17.55" spans="1:12">
      <c r="A223" s="2" t="s">
        <v>69</v>
      </c>
      <c r="B223" s="2" t="s">
        <v>70</v>
      </c>
      <c r="C223" s="1">
        <v>2024</v>
      </c>
      <c r="D223" s="1">
        <v>0.2</v>
      </c>
      <c r="E223" s="1">
        <v>36.3</v>
      </c>
      <c r="F223" s="1">
        <v>6.18</v>
      </c>
      <c r="G223" s="1">
        <v>4.52</v>
      </c>
      <c r="H223" s="13">
        <v>0.0442</v>
      </c>
      <c r="I223" s="13">
        <v>0.0324</v>
      </c>
      <c r="J223" s="8">
        <v>0.0168</v>
      </c>
      <c r="K223" s="8">
        <f>H223-J223</f>
        <v>0.0274</v>
      </c>
      <c r="L223" s="9" t="b">
        <v>1</v>
      </c>
    </row>
    <row r="224" ht="17.55" spans="1:12">
      <c r="A224" s="2" t="s">
        <v>69</v>
      </c>
      <c r="B224" s="2" t="s">
        <v>70</v>
      </c>
      <c r="C224" s="1">
        <v>2025</v>
      </c>
      <c r="D224" s="1">
        <v>0.21</v>
      </c>
      <c r="E224" s="1">
        <v>55.26</v>
      </c>
      <c r="F224" s="1">
        <v>5.85</v>
      </c>
      <c r="G224" s="1">
        <v>4.61</v>
      </c>
      <c r="H224" s="13">
        <v>0.0456</v>
      </c>
      <c r="I224" s="13">
        <v>0.0359</v>
      </c>
      <c r="J224" s="8">
        <v>0.0185</v>
      </c>
      <c r="K224" s="8">
        <f>H224-J224</f>
        <v>0.0271</v>
      </c>
      <c r="L224" s="9" t="b">
        <v>1</v>
      </c>
    </row>
    <row r="225" ht="17.55" spans="1:12">
      <c r="A225" s="2" t="s">
        <v>71</v>
      </c>
      <c r="B225" s="2" t="s">
        <v>72</v>
      </c>
      <c r="C225" s="1">
        <v>2018</v>
      </c>
      <c r="D225" s="1">
        <v>0.178</v>
      </c>
      <c r="E225" s="1">
        <v>55.63</v>
      </c>
      <c r="F225" s="1">
        <v>3.4</v>
      </c>
      <c r="G225" s="1">
        <v>2.38</v>
      </c>
      <c r="H225" s="13">
        <v>0.0748</v>
      </c>
      <c r="I225" s="13">
        <v>0.0524</v>
      </c>
      <c r="J225" s="8">
        <v>0.0323</v>
      </c>
      <c r="K225" s="8">
        <f t="shared" ref="K225:K232" si="11">H225-J225</f>
        <v>0.0425</v>
      </c>
      <c r="L225" s="9" t="b">
        <v>1</v>
      </c>
    </row>
    <row r="226" ht="17.55" spans="1:12">
      <c r="A226" s="2" t="s">
        <v>71</v>
      </c>
      <c r="B226" s="2" t="s">
        <v>72</v>
      </c>
      <c r="C226" s="1">
        <v>2019</v>
      </c>
      <c r="D226" s="1">
        <v>0.18</v>
      </c>
      <c r="E226" s="1">
        <v>58.06</v>
      </c>
      <c r="F226" s="1">
        <v>4.33</v>
      </c>
      <c r="G226" s="1">
        <v>2.91</v>
      </c>
      <c r="H226" s="13">
        <v>0.0619</v>
      </c>
      <c r="I226" s="13">
        <v>0.0416</v>
      </c>
      <c r="J226" s="8">
        <v>0.0314</v>
      </c>
      <c r="K226" s="8">
        <f t="shared" si="11"/>
        <v>0.0305</v>
      </c>
      <c r="L226" s="9" t="b">
        <v>1</v>
      </c>
    </row>
    <row r="227" ht="17.55" spans="1:12">
      <c r="A227" s="2" t="s">
        <v>71</v>
      </c>
      <c r="B227" s="2" t="s">
        <v>72</v>
      </c>
      <c r="C227" s="1">
        <v>2020</v>
      </c>
      <c r="D227" s="1">
        <v>0.16</v>
      </c>
      <c r="E227" s="1">
        <v>59.26</v>
      </c>
      <c r="F227" s="1">
        <v>4.02</v>
      </c>
      <c r="G227" s="1">
        <v>2.65</v>
      </c>
      <c r="H227" s="13">
        <v>0.0604</v>
      </c>
      <c r="I227" s="13">
        <v>0.0398</v>
      </c>
      <c r="J227" s="8">
        <v>0.0317</v>
      </c>
      <c r="K227" s="8">
        <f t="shared" si="11"/>
        <v>0.0287</v>
      </c>
      <c r="L227" s="9" t="b">
        <v>1</v>
      </c>
    </row>
    <row r="228" ht="17.55" spans="1:12">
      <c r="A228" s="2" t="s">
        <v>71</v>
      </c>
      <c r="B228" s="2" t="s">
        <v>72</v>
      </c>
      <c r="C228" s="1">
        <v>2021</v>
      </c>
      <c r="D228" s="1">
        <v>0.17</v>
      </c>
      <c r="E228" s="1">
        <v>53.13</v>
      </c>
      <c r="F228" s="1">
        <v>3.85</v>
      </c>
      <c r="G228" s="1">
        <v>2.83</v>
      </c>
      <c r="H228" s="13">
        <v>0.0601</v>
      </c>
      <c r="I228" s="13">
        <v>0.0442</v>
      </c>
      <c r="J228" s="8">
        <v>0.0278</v>
      </c>
      <c r="K228" s="8">
        <f t="shared" si="11"/>
        <v>0.0323</v>
      </c>
      <c r="L228" s="9" t="b">
        <v>1</v>
      </c>
    </row>
    <row r="229" ht="17.55" spans="1:12">
      <c r="A229" s="2" t="s">
        <v>71</v>
      </c>
      <c r="B229" s="2" t="s">
        <v>72</v>
      </c>
      <c r="C229" s="1">
        <v>2022</v>
      </c>
      <c r="D229" s="1">
        <v>0.175</v>
      </c>
      <c r="E229" s="1">
        <v>47.3</v>
      </c>
      <c r="F229" s="1">
        <v>3.62</v>
      </c>
      <c r="G229" s="1">
        <v>2.62</v>
      </c>
      <c r="H229" s="13">
        <v>0.0668</v>
      </c>
      <c r="I229" s="13">
        <v>0.0483</v>
      </c>
      <c r="J229" s="8">
        <v>0.0284</v>
      </c>
      <c r="K229" s="8">
        <f t="shared" si="11"/>
        <v>0.0384</v>
      </c>
      <c r="L229" s="9" t="b">
        <v>1</v>
      </c>
    </row>
    <row r="230" ht="17.55" spans="1:12">
      <c r="A230" s="2" t="s">
        <v>71</v>
      </c>
      <c r="B230" s="2" t="s">
        <v>72</v>
      </c>
      <c r="C230" s="1">
        <v>2023</v>
      </c>
      <c r="D230" s="1">
        <v>0.18</v>
      </c>
      <c r="E230" s="1">
        <v>45</v>
      </c>
      <c r="F230" s="1">
        <v>3.24</v>
      </c>
      <c r="G230" s="1">
        <v>2.42</v>
      </c>
      <c r="H230" s="13">
        <v>0.0744</v>
      </c>
      <c r="I230" s="13">
        <v>0.0556</v>
      </c>
      <c r="J230" s="8">
        <v>0.0257</v>
      </c>
      <c r="K230" s="8">
        <f t="shared" si="11"/>
        <v>0.0487</v>
      </c>
      <c r="L230" s="9" t="b">
        <v>1</v>
      </c>
    </row>
    <row r="231" ht="17.55" spans="1:12">
      <c r="A231" s="2" t="s">
        <v>71</v>
      </c>
      <c r="B231" s="2" t="s">
        <v>72</v>
      </c>
      <c r="C231" s="1">
        <v>2024</v>
      </c>
      <c r="D231" s="1">
        <v>0.2</v>
      </c>
      <c r="E231" s="1">
        <v>43.39</v>
      </c>
      <c r="F231" s="1">
        <v>3.18</v>
      </c>
      <c r="G231" s="1">
        <v>2.58</v>
      </c>
      <c r="H231" s="13">
        <v>0.0775</v>
      </c>
      <c r="I231" s="13">
        <v>0.0629</v>
      </c>
      <c r="J231" s="8">
        <v>0.0168</v>
      </c>
      <c r="K231" s="8">
        <f t="shared" si="11"/>
        <v>0.0607</v>
      </c>
      <c r="L231" s="9" t="b">
        <v>1</v>
      </c>
    </row>
    <row r="232" ht="17.55" spans="1:12">
      <c r="A232" s="2" t="s">
        <v>71</v>
      </c>
      <c r="B232" s="2" t="s">
        <v>72</v>
      </c>
      <c r="C232" s="1">
        <v>2025</v>
      </c>
      <c r="D232" s="1">
        <v>0.22</v>
      </c>
      <c r="E232" s="1">
        <v>50</v>
      </c>
      <c r="F232" s="1">
        <v>3.05</v>
      </c>
      <c r="G232" s="1">
        <v>2.75</v>
      </c>
      <c r="H232" s="13">
        <v>0.08</v>
      </c>
      <c r="I232" s="13">
        <v>0.0721</v>
      </c>
      <c r="J232" s="8">
        <v>0.0185</v>
      </c>
      <c r="K232" s="8">
        <f t="shared" si="11"/>
        <v>0.0615</v>
      </c>
      <c r="L232" s="9" t="b">
        <v>1</v>
      </c>
    </row>
    <row r="233" ht="17.55" spans="1:12">
      <c r="A233" s="2" t="s">
        <v>73</v>
      </c>
      <c r="B233" s="2" t="s">
        <v>74</v>
      </c>
      <c r="C233" s="1">
        <v>2018</v>
      </c>
      <c r="D233" s="1">
        <v>0.035</v>
      </c>
      <c r="E233" s="1">
        <v>14</v>
      </c>
      <c r="F233" s="1">
        <v>6.78</v>
      </c>
      <c r="G233" s="1">
        <v>5.12</v>
      </c>
      <c r="H233" s="13">
        <v>0.0068</v>
      </c>
      <c r="I233" s="13">
        <v>0.0052</v>
      </c>
      <c r="J233" s="8">
        <v>0.0323</v>
      </c>
      <c r="K233" s="8">
        <f t="shared" ref="K233:K240" si="12">H233-J233</f>
        <v>-0.0255</v>
      </c>
      <c r="L233" s="9" t="b">
        <v>0</v>
      </c>
    </row>
    <row r="234" ht="17.55" spans="1:12">
      <c r="A234" s="2" t="s">
        <v>73</v>
      </c>
      <c r="B234" s="2" t="s">
        <v>74</v>
      </c>
      <c r="C234" s="1">
        <v>2019</v>
      </c>
      <c r="D234" s="1">
        <v>0.05</v>
      </c>
      <c r="E234" s="1">
        <v>20</v>
      </c>
      <c r="F234" s="1">
        <v>7.25</v>
      </c>
      <c r="G234" s="1">
        <v>5.68</v>
      </c>
      <c r="H234" s="13">
        <v>0.0088</v>
      </c>
      <c r="I234" s="13">
        <v>0.0069</v>
      </c>
      <c r="J234" s="8">
        <v>0.0314</v>
      </c>
      <c r="K234" s="8">
        <f t="shared" si="12"/>
        <v>-0.0226</v>
      </c>
      <c r="L234" s="9" t="b">
        <v>0</v>
      </c>
    </row>
    <row r="235" ht="17.55" spans="1:12">
      <c r="A235" s="2" t="s">
        <v>73</v>
      </c>
      <c r="B235" s="2" t="s">
        <v>74</v>
      </c>
      <c r="C235" s="1">
        <v>2020</v>
      </c>
      <c r="D235" s="1">
        <v>0.06</v>
      </c>
      <c r="E235" s="1">
        <v>23.08</v>
      </c>
      <c r="F235" s="1">
        <v>6.92</v>
      </c>
      <c r="G235" s="1">
        <v>5.35</v>
      </c>
      <c r="H235" s="13">
        <v>0.0112</v>
      </c>
      <c r="I235" s="13">
        <v>0.0087</v>
      </c>
      <c r="J235" s="8">
        <v>0.0317</v>
      </c>
      <c r="K235" s="8">
        <f t="shared" si="12"/>
        <v>-0.0205</v>
      </c>
      <c r="L235" s="9" t="b">
        <v>0</v>
      </c>
    </row>
    <row r="236" ht="17.55" spans="1:12">
      <c r="A236" s="2" t="s">
        <v>73</v>
      </c>
      <c r="B236" s="2" t="s">
        <v>74</v>
      </c>
      <c r="C236" s="1">
        <v>2021</v>
      </c>
      <c r="D236" s="1">
        <v>0.07</v>
      </c>
      <c r="E236" s="1">
        <v>22.58</v>
      </c>
      <c r="F236" s="1">
        <v>6.52</v>
      </c>
      <c r="G236" s="1">
        <v>4.53</v>
      </c>
      <c r="H236" s="13">
        <v>0.0154</v>
      </c>
      <c r="I236" s="13">
        <v>0.0107</v>
      </c>
      <c r="J236" s="8">
        <v>0.0278</v>
      </c>
      <c r="K236" s="8">
        <f t="shared" si="12"/>
        <v>-0.0124</v>
      </c>
      <c r="L236" s="9" t="b">
        <v>0</v>
      </c>
    </row>
    <row r="237" ht="17.55" spans="1:12">
      <c r="A237" s="2" t="s">
        <v>73</v>
      </c>
      <c r="B237" s="2" t="s">
        <v>74</v>
      </c>
      <c r="C237" s="1">
        <v>2022</v>
      </c>
      <c r="D237" s="1">
        <v>0.202</v>
      </c>
      <c r="E237" s="1">
        <v>67.33</v>
      </c>
      <c r="F237" s="1">
        <v>5.75</v>
      </c>
      <c r="G237" s="1">
        <v>3.52</v>
      </c>
      <c r="H237" s="13">
        <v>0.0574</v>
      </c>
      <c r="I237" s="13">
        <v>0.0351</v>
      </c>
      <c r="J237" s="8">
        <v>0.0284</v>
      </c>
      <c r="K237" s="8">
        <f t="shared" si="12"/>
        <v>0.029</v>
      </c>
      <c r="L237" s="9" t="b">
        <v>0</v>
      </c>
    </row>
    <row r="238" ht="17.55" spans="1:12">
      <c r="A238" s="2" t="s">
        <v>73</v>
      </c>
      <c r="B238" s="2" t="s">
        <v>74</v>
      </c>
      <c r="C238" s="1">
        <v>2023</v>
      </c>
      <c r="D238" s="1">
        <v>0.233</v>
      </c>
      <c r="E238" s="1">
        <v>70.61</v>
      </c>
      <c r="F238" s="1">
        <v>6.85</v>
      </c>
      <c r="G238" s="1">
        <v>4.88</v>
      </c>
      <c r="H238" s="13">
        <v>0.0477</v>
      </c>
      <c r="I238" s="13">
        <v>0.034</v>
      </c>
      <c r="J238" s="8">
        <v>0.0257</v>
      </c>
      <c r="K238" s="8">
        <f t="shared" si="12"/>
        <v>0.022</v>
      </c>
      <c r="L238" s="9" t="b">
        <v>0</v>
      </c>
    </row>
    <row r="239" ht="17.55" spans="1:12">
      <c r="A239" s="2" t="s">
        <v>73</v>
      </c>
      <c r="B239" s="2" t="s">
        <v>74</v>
      </c>
      <c r="C239" s="1">
        <v>2024</v>
      </c>
      <c r="D239" s="1">
        <v>0.26</v>
      </c>
      <c r="E239" s="1">
        <v>72.22</v>
      </c>
      <c r="F239" s="1">
        <v>8.34</v>
      </c>
      <c r="G239" s="1">
        <v>5.75</v>
      </c>
      <c r="H239" s="13">
        <v>0.0452</v>
      </c>
      <c r="I239" s="13">
        <v>0.0312</v>
      </c>
      <c r="J239" s="8">
        <v>0.0168</v>
      </c>
      <c r="K239" s="8">
        <f t="shared" si="12"/>
        <v>0.0284</v>
      </c>
      <c r="L239" s="9" t="b">
        <v>0</v>
      </c>
    </row>
    <row r="240" ht="17.55" spans="1:12">
      <c r="A240" s="2" t="s">
        <v>73</v>
      </c>
      <c r="B240" s="2" t="s">
        <v>74</v>
      </c>
      <c r="C240" s="1">
        <v>2025</v>
      </c>
      <c r="D240" s="1">
        <v>0.28</v>
      </c>
      <c r="E240" s="1">
        <v>75</v>
      </c>
      <c r="F240" s="1">
        <v>8.61</v>
      </c>
      <c r="G240" s="1">
        <v>6.57</v>
      </c>
      <c r="H240" s="13">
        <v>0.0426</v>
      </c>
      <c r="I240" s="13">
        <v>0.0325</v>
      </c>
      <c r="J240" s="8">
        <v>0.0185</v>
      </c>
      <c r="K240" s="8">
        <f t="shared" si="12"/>
        <v>0.0241</v>
      </c>
      <c r="L240" s="9" t="b">
        <v>0</v>
      </c>
    </row>
    <row r="241" ht="17.55" spans="1:12">
      <c r="A241" s="2" t="s">
        <v>75</v>
      </c>
      <c r="B241" s="2" t="s">
        <v>76</v>
      </c>
      <c r="C241" s="1">
        <v>2018</v>
      </c>
      <c r="D241" s="1">
        <v>0.291</v>
      </c>
      <c r="E241" s="1">
        <v>29.1</v>
      </c>
      <c r="F241" s="1">
        <v>9.8</v>
      </c>
      <c r="G241" s="1">
        <v>6</v>
      </c>
      <c r="H241" s="13">
        <v>0.0485</v>
      </c>
      <c r="I241" s="13">
        <v>0.0297</v>
      </c>
      <c r="J241" s="8">
        <v>0.0323</v>
      </c>
      <c r="K241" s="8">
        <f t="shared" ref="K241:K249" si="13">H241-J241</f>
        <v>0.0162</v>
      </c>
      <c r="L241" s="9" t="b">
        <v>0</v>
      </c>
    </row>
    <row r="242" ht="17.55" spans="1:12">
      <c r="A242" s="2" t="s">
        <v>75</v>
      </c>
      <c r="B242" s="2" t="s">
        <v>76</v>
      </c>
      <c r="C242" s="1">
        <v>2019</v>
      </c>
      <c r="D242" s="1">
        <v>0.306</v>
      </c>
      <c r="E242" s="1">
        <v>29.14</v>
      </c>
      <c r="F242" s="1">
        <v>8.5</v>
      </c>
      <c r="G242" s="1">
        <v>6.2</v>
      </c>
      <c r="H242" s="13">
        <v>0.0494</v>
      </c>
      <c r="I242" s="13">
        <v>0.036</v>
      </c>
      <c r="J242" s="8">
        <v>0.0314</v>
      </c>
      <c r="K242" s="8">
        <f t="shared" si="13"/>
        <v>0.018</v>
      </c>
      <c r="L242" s="9" t="b">
        <v>0</v>
      </c>
    </row>
    <row r="243" ht="17.55" spans="1:12">
      <c r="A243" s="2" t="s">
        <v>75</v>
      </c>
      <c r="B243" s="2" t="s">
        <v>76</v>
      </c>
      <c r="C243" s="1">
        <v>2020</v>
      </c>
      <c r="D243" s="1">
        <v>0.306</v>
      </c>
      <c r="E243" s="1">
        <v>28.87</v>
      </c>
      <c r="F243" s="1">
        <v>7.6</v>
      </c>
      <c r="G243" s="1">
        <v>5.5</v>
      </c>
      <c r="H243" s="13">
        <v>0.0556</v>
      </c>
      <c r="I243" s="13">
        <v>0.0403</v>
      </c>
      <c r="J243" s="8">
        <v>0.0317</v>
      </c>
      <c r="K243" s="8">
        <f t="shared" si="13"/>
        <v>0.0239</v>
      </c>
      <c r="L243" s="9" t="b">
        <v>0</v>
      </c>
    </row>
    <row r="244" ht="17.55" spans="1:12">
      <c r="A244" s="2" t="s">
        <v>75</v>
      </c>
      <c r="B244" s="2" t="s">
        <v>76</v>
      </c>
      <c r="C244" s="1">
        <v>2021</v>
      </c>
      <c r="D244" s="1">
        <v>0.326</v>
      </c>
      <c r="E244" s="1">
        <v>27.39</v>
      </c>
      <c r="F244" s="1">
        <v>7.4</v>
      </c>
      <c r="G244" s="1">
        <v>5.4</v>
      </c>
      <c r="H244" s="13">
        <v>0.0604</v>
      </c>
      <c r="I244" s="13">
        <v>0.0441</v>
      </c>
      <c r="J244" s="8">
        <v>0.0278</v>
      </c>
      <c r="K244" s="8">
        <f t="shared" si="13"/>
        <v>0.0326</v>
      </c>
      <c r="L244" s="9" t="b">
        <v>0</v>
      </c>
    </row>
    <row r="245" ht="17.55" spans="1:12">
      <c r="A245" s="2" t="s">
        <v>75</v>
      </c>
      <c r="B245" s="2" t="s">
        <v>76</v>
      </c>
      <c r="C245" s="1">
        <v>2022</v>
      </c>
      <c r="D245" s="1">
        <v>0.364</v>
      </c>
      <c r="E245" s="1">
        <v>28.44</v>
      </c>
      <c r="F245" s="1">
        <v>6.8</v>
      </c>
      <c r="G245" s="1">
        <v>5.18</v>
      </c>
      <c r="H245" s="13">
        <v>0.0703</v>
      </c>
      <c r="I245" s="13">
        <v>0.0535</v>
      </c>
      <c r="J245" s="8">
        <v>0.0284</v>
      </c>
      <c r="K245" s="8">
        <f t="shared" si="13"/>
        <v>0.0419</v>
      </c>
      <c r="L245" s="9" t="b">
        <v>0</v>
      </c>
    </row>
    <row r="246" ht="17.55" spans="1:12">
      <c r="A246" s="2" t="s">
        <v>75</v>
      </c>
      <c r="B246" s="2" t="s">
        <v>76</v>
      </c>
      <c r="C246" s="1">
        <v>2023</v>
      </c>
      <c r="D246" s="1">
        <v>0.389</v>
      </c>
      <c r="E246" s="1">
        <v>29.69</v>
      </c>
      <c r="F246" s="1">
        <v>8.2</v>
      </c>
      <c r="G246" s="1">
        <v>5.8</v>
      </c>
      <c r="H246" s="13">
        <v>0.0671</v>
      </c>
      <c r="I246" s="13">
        <v>0.0474</v>
      </c>
      <c r="J246" s="8">
        <v>0.0257</v>
      </c>
      <c r="K246" s="8">
        <f t="shared" si="13"/>
        <v>0.0414</v>
      </c>
      <c r="L246" s="9" t="b">
        <v>0</v>
      </c>
    </row>
    <row r="247" ht="17.55" spans="1:12">
      <c r="A247" s="2" t="s">
        <v>75</v>
      </c>
      <c r="B247" s="2" t="s">
        <v>76</v>
      </c>
      <c r="C247" s="1">
        <v>2024</v>
      </c>
      <c r="D247" s="1">
        <v>0.403</v>
      </c>
      <c r="E247" s="1">
        <v>30.77</v>
      </c>
      <c r="F247" s="1">
        <v>9.84</v>
      </c>
      <c r="G247" s="1">
        <v>7.2</v>
      </c>
      <c r="H247" s="13">
        <v>0.056</v>
      </c>
      <c r="I247" s="13">
        <v>0.041</v>
      </c>
      <c r="J247" s="8">
        <v>0.0168</v>
      </c>
      <c r="K247" s="8">
        <f t="shared" si="13"/>
        <v>0.0392</v>
      </c>
      <c r="L247" s="9" t="b">
        <v>0</v>
      </c>
    </row>
    <row r="248" ht="17.55" spans="1:12">
      <c r="A248" s="2" t="s">
        <v>75</v>
      </c>
      <c r="B248" s="2" t="s">
        <v>76</v>
      </c>
      <c r="C248" s="1">
        <v>2025</v>
      </c>
      <c r="D248" s="1">
        <v>0.3918</v>
      </c>
      <c r="E248" s="1">
        <v>39.18</v>
      </c>
      <c r="F248" s="1">
        <v>9.84</v>
      </c>
      <c r="G248" s="1">
        <v>8.01</v>
      </c>
      <c r="H248" s="13">
        <v>0.0489</v>
      </c>
      <c r="I248" s="13">
        <v>0.0398</v>
      </c>
      <c r="J248" s="8">
        <v>0.0185</v>
      </c>
      <c r="K248" s="8">
        <f t="shared" si="13"/>
        <v>0.0304</v>
      </c>
      <c r="L248" s="9" t="b">
        <v>0</v>
      </c>
    </row>
    <row r="249" ht="17.55" spans="1:12">
      <c r="A249" s="2" t="s">
        <v>77</v>
      </c>
      <c r="B249" s="2" t="s">
        <v>78</v>
      </c>
      <c r="C249" s="1">
        <v>2018</v>
      </c>
      <c r="D249" s="1">
        <v>0.176</v>
      </c>
      <c r="E249" s="1">
        <v>29.83</v>
      </c>
      <c r="F249" s="1">
        <v>4.59</v>
      </c>
      <c r="G249" s="1">
        <v>3.42</v>
      </c>
      <c r="H249" s="13">
        <v>0.0515</v>
      </c>
      <c r="I249" s="13">
        <v>0.0383</v>
      </c>
      <c r="J249" s="8">
        <v>0.0323</v>
      </c>
      <c r="K249" s="8">
        <f t="shared" si="13"/>
        <v>0.0192</v>
      </c>
      <c r="L249" s="9" t="b">
        <v>0</v>
      </c>
    </row>
    <row r="250" ht="17.55" spans="1:12">
      <c r="A250" s="2" t="s">
        <v>77</v>
      </c>
      <c r="B250" s="2" t="s">
        <v>78</v>
      </c>
      <c r="C250" s="1">
        <v>2019</v>
      </c>
      <c r="D250" s="1">
        <v>0.184</v>
      </c>
      <c r="E250" s="1">
        <v>30.16</v>
      </c>
      <c r="F250" s="1">
        <v>4.35</v>
      </c>
      <c r="G250" s="1">
        <v>3.38</v>
      </c>
      <c r="H250" s="13">
        <v>0.0544</v>
      </c>
      <c r="I250" s="13">
        <v>0.0423</v>
      </c>
      <c r="J250" s="8">
        <v>0.0314</v>
      </c>
      <c r="K250" s="8">
        <f t="shared" ref="K250:K262" si="14">H250-J250</f>
        <v>0.023</v>
      </c>
      <c r="L250" s="9" t="b">
        <v>0</v>
      </c>
    </row>
    <row r="251" ht="17.55" spans="1:12">
      <c r="A251" s="2" t="s">
        <v>77</v>
      </c>
      <c r="B251" s="2" t="s">
        <v>78</v>
      </c>
      <c r="C251" s="1">
        <v>2020</v>
      </c>
      <c r="D251" s="1">
        <v>0.191</v>
      </c>
      <c r="E251" s="1">
        <v>31.31</v>
      </c>
      <c r="F251" s="1">
        <v>4.02</v>
      </c>
      <c r="G251" s="1">
        <v>3.05</v>
      </c>
      <c r="H251" s="13">
        <v>0.0626</v>
      </c>
      <c r="I251" s="13">
        <v>0.0475</v>
      </c>
      <c r="J251" s="8">
        <v>0.0317</v>
      </c>
      <c r="K251" s="8">
        <f t="shared" si="14"/>
        <v>0.0309</v>
      </c>
      <c r="L251" s="9" t="b">
        <v>0</v>
      </c>
    </row>
    <row r="252" ht="17.55" spans="1:12">
      <c r="A252" s="2" t="s">
        <v>77</v>
      </c>
      <c r="B252" s="2" t="s">
        <v>78</v>
      </c>
      <c r="C252" s="1">
        <v>2021</v>
      </c>
      <c r="D252" s="1">
        <v>0.204</v>
      </c>
      <c r="E252" s="1">
        <v>29.14</v>
      </c>
      <c r="F252" s="1">
        <v>3.88</v>
      </c>
      <c r="G252" s="1">
        <v>2.94</v>
      </c>
      <c r="H252" s="13">
        <v>0.0694</v>
      </c>
      <c r="I252" s="13">
        <v>0.0526</v>
      </c>
      <c r="J252" s="8">
        <v>0.0278</v>
      </c>
      <c r="K252" s="8">
        <f t="shared" si="14"/>
        <v>0.0416</v>
      </c>
      <c r="L252" s="9" t="b">
        <v>0</v>
      </c>
    </row>
    <row r="253" ht="17.55" spans="1:12">
      <c r="A253" s="2" t="s">
        <v>77</v>
      </c>
      <c r="B253" s="2" t="s">
        <v>78</v>
      </c>
      <c r="C253" s="1">
        <v>2022</v>
      </c>
      <c r="D253" s="1">
        <v>0.221</v>
      </c>
      <c r="E253" s="1">
        <v>30.69</v>
      </c>
      <c r="F253" s="1">
        <v>3.75</v>
      </c>
      <c r="G253" s="1">
        <v>2.82</v>
      </c>
      <c r="H253" s="13">
        <v>0.0784</v>
      </c>
      <c r="I253" s="13">
        <v>0.0589</v>
      </c>
      <c r="J253" s="8">
        <v>0.0284</v>
      </c>
      <c r="K253" s="8">
        <f t="shared" si="14"/>
        <v>0.05</v>
      </c>
      <c r="L253" s="9" t="b">
        <v>0</v>
      </c>
    </row>
    <row r="254" ht="17.55" spans="1:12">
      <c r="A254" s="2" t="s">
        <v>77</v>
      </c>
      <c r="B254" s="2" t="s">
        <v>78</v>
      </c>
      <c r="C254" s="1">
        <v>2023</v>
      </c>
      <c r="D254" s="1">
        <v>0.232</v>
      </c>
      <c r="E254" s="1">
        <v>31.35</v>
      </c>
      <c r="F254" s="1">
        <v>4.58</v>
      </c>
      <c r="G254" s="1">
        <v>3.45</v>
      </c>
      <c r="H254" s="13">
        <v>0.0672</v>
      </c>
      <c r="I254" s="13">
        <v>0.0507</v>
      </c>
      <c r="J254" s="8">
        <v>0.0257</v>
      </c>
      <c r="K254" s="8">
        <f t="shared" si="14"/>
        <v>0.0415</v>
      </c>
      <c r="L254" s="9" t="b">
        <v>0</v>
      </c>
    </row>
    <row r="255" ht="17.55" spans="1:12">
      <c r="A255" s="2" t="s">
        <v>77</v>
      </c>
      <c r="B255" s="2" t="s">
        <v>78</v>
      </c>
      <c r="C255" s="1">
        <v>2024</v>
      </c>
      <c r="D255" s="1">
        <v>0.2424</v>
      </c>
      <c r="E255" s="1">
        <v>32.32</v>
      </c>
      <c r="F255" s="1">
        <v>5.58</v>
      </c>
      <c r="G255" s="1">
        <v>4.05</v>
      </c>
      <c r="H255" s="13">
        <v>0.0599</v>
      </c>
      <c r="I255" s="13">
        <v>0.0434</v>
      </c>
      <c r="J255" s="8">
        <v>0.0168</v>
      </c>
      <c r="K255" s="8">
        <f t="shared" si="14"/>
        <v>0.0431</v>
      </c>
      <c r="L255" s="9" t="b">
        <v>0</v>
      </c>
    </row>
    <row r="256" ht="17.55" spans="1:12">
      <c r="A256" s="2" t="s">
        <v>77</v>
      </c>
      <c r="B256" s="2" t="s">
        <v>78</v>
      </c>
      <c r="C256" s="1">
        <v>2025</v>
      </c>
      <c r="D256" s="1">
        <v>0.231</v>
      </c>
      <c r="E256" s="1">
        <v>30</v>
      </c>
      <c r="F256" s="1">
        <v>5.85</v>
      </c>
      <c r="G256" s="1">
        <v>4.88</v>
      </c>
      <c r="H256" s="13">
        <v>0.0473</v>
      </c>
      <c r="I256" s="13">
        <v>0.0395</v>
      </c>
      <c r="J256" s="8">
        <v>0.0185</v>
      </c>
      <c r="K256" s="8">
        <f t="shared" si="14"/>
        <v>0.0288</v>
      </c>
      <c r="L256" s="9" t="b">
        <v>0</v>
      </c>
    </row>
    <row r="257" ht="17.55" spans="1:13">
      <c r="A257" s="2" t="s">
        <v>79</v>
      </c>
      <c r="B257" s="2" t="s">
        <v>80</v>
      </c>
      <c r="C257" s="1">
        <v>2020</v>
      </c>
      <c r="D257" s="1">
        <v>0.2085</v>
      </c>
      <c r="E257" s="1">
        <v>29.37</v>
      </c>
      <c r="F257" s="1">
        <v>6.02</v>
      </c>
      <c r="G257" s="1">
        <v>4.47</v>
      </c>
      <c r="H257" s="13">
        <v>0.0466</v>
      </c>
      <c r="I257" s="13">
        <v>0.0346</v>
      </c>
      <c r="J257" s="8">
        <v>0.0317</v>
      </c>
      <c r="K257" s="8">
        <f t="shared" si="14"/>
        <v>0.0149</v>
      </c>
      <c r="L257" s="9" t="b">
        <v>0</v>
      </c>
    </row>
    <row r="258" ht="17.55" spans="1:13">
      <c r="A258" s="2" t="s">
        <v>79</v>
      </c>
      <c r="B258" s="2" t="s">
        <v>80</v>
      </c>
      <c r="C258" s="1">
        <v>2021</v>
      </c>
      <c r="D258" s="1">
        <v>0.2474</v>
      </c>
      <c r="E258" s="1">
        <v>31.72</v>
      </c>
      <c r="F258" s="1">
        <v>6.46</v>
      </c>
      <c r="G258" s="1">
        <v>4.59</v>
      </c>
      <c r="H258" s="13">
        <v>0.0539</v>
      </c>
      <c r="I258" s="13">
        <v>0.0383</v>
      </c>
      <c r="J258" s="8">
        <v>0.0278</v>
      </c>
      <c r="K258" s="8">
        <f t="shared" si="14"/>
        <v>0.0261</v>
      </c>
      <c r="L258" s="9" t="b">
        <v>0</v>
      </c>
    </row>
    <row r="259" ht="17.55" spans="1:13">
      <c r="A259" s="2" t="s">
        <v>79</v>
      </c>
      <c r="B259" s="2" t="s">
        <v>80</v>
      </c>
      <c r="C259" s="1">
        <v>2022</v>
      </c>
      <c r="D259" s="1">
        <v>0.2579</v>
      </c>
      <c r="E259" s="1">
        <v>30.34</v>
      </c>
      <c r="F259" s="1">
        <v>5.8</v>
      </c>
      <c r="G259" s="1">
        <v>4.35</v>
      </c>
      <c r="H259" s="13">
        <v>0.0593</v>
      </c>
      <c r="I259" s="13">
        <v>0.0445</v>
      </c>
      <c r="J259" s="8">
        <v>0.0284</v>
      </c>
      <c r="K259" s="8">
        <f t="shared" si="14"/>
        <v>0.0309</v>
      </c>
      <c r="L259" s="9" t="b">
        <v>0</v>
      </c>
    </row>
    <row r="260" ht="17.55" spans="1:13">
      <c r="A260" s="2" t="s">
        <v>79</v>
      </c>
      <c r="B260" s="2" t="s">
        <v>80</v>
      </c>
      <c r="C260" s="1">
        <v>2023</v>
      </c>
      <c r="D260" s="1">
        <v>0.261</v>
      </c>
      <c r="E260" s="1">
        <v>31.45</v>
      </c>
      <c r="F260" s="1">
        <v>6.15</v>
      </c>
      <c r="G260" s="1">
        <v>4.21</v>
      </c>
      <c r="H260" s="13">
        <v>0.062</v>
      </c>
      <c r="I260" s="13">
        <v>0.0424</v>
      </c>
      <c r="J260" s="8">
        <v>0.0257</v>
      </c>
      <c r="K260" s="8">
        <f t="shared" si="14"/>
        <v>0.0363</v>
      </c>
      <c r="L260" s="9" t="b">
        <v>0</v>
      </c>
    </row>
    <row r="261" ht="17.55" spans="1:13">
      <c r="A261" s="2" t="s">
        <v>79</v>
      </c>
      <c r="B261" s="2" t="s">
        <v>80</v>
      </c>
      <c r="C261" s="1">
        <v>2024</v>
      </c>
      <c r="D261" s="1">
        <v>0.2616</v>
      </c>
      <c r="E261" s="1">
        <v>32.3</v>
      </c>
      <c r="F261" s="1">
        <v>6.4</v>
      </c>
      <c r="G261" s="1">
        <v>4.85</v>
      </c>
      <c r="H261" s="13">
        <v>0.0539</v>
      </c>
      <c r="I261" s="13">
        <v>0.0409</v>
      </c>
      <c r="J261" s="8">
        <v>0.0168</v>
      </c>
      <c r="K261" s="8">
        <f t="shared" si="14"/>
        <v>0.0371</v>
      </c>
      <c r="L261" s="9" t="b">
        <v>0</v>
      </c>
    </row>
    <row r="262" ht="17.55" spans="1:13">
      <c r="A262" s="2" t="s">
        <v>79</v>
      </c>
      <c r="B262" s="2" t="s">
        <v>80</v>
      </c>
      <c r="C262" s="1">
        <v>2025</v>
      </c>
      <c r="D262" s="1">
        <v>0.2369</v>
      </c>
      <c r="E262" s="1">
        <v>30</v>
      </c>
      <c r="F262" s="1">
        <v>6.44</v>
      </c>
      <c r="G262" s="1">
        <v>4.94</v>
      </c>
      <c r="H262" s="13">
        <v>0.048</v>
      </c>
      <c r="I262" s="13">
        <v>0.0368</v>
      </c>
      <c r="J262" s="8">
        <v>0.0185</v>
      </c>
      <c r="K262" s="8">
        <f t="shared" si="14"/>
        <v>0.0295</v>
      </c>
      <c r="L262" s="9" t="b">
        <v>0</v>
      </c>
    </row>
    <row r="263" ht="17.55" spans="1:13">
      <c r="A263" s="2" t="s">
        <v>81</v>
      </c>
      <c r="B263" s="2" t="s">
        <v>82</v>
      </c>
      <c r="C263" s="1">
        <v>2018</v>
      </c>
      <c r="D263" s="1">
        <v>0.2856</v>
      </c>
      <c r="E263" s="1">
        <v>31.25</v>
      </c>
      <c r="F263" s="1">
        <v>7.45</v>
      </c>
      <c r="G263" s="1">
        <v>4.99</v>
      </c>
      <c r="H263" s="13">
        <v>0.0572</v>
      </c>
      <c r="I263" s="13">
        <v>0.0383</v>
      </c>
      <c r="J263" s="8">
        <v>0.0323</v>
      </c>
      <c r="K263" s="8">
        <f t="shared" ref="K263:K271" si="15">H263-J263</f>
        <v>0.0249</v>
      </c>
      <c r="L263" s="9" t="b">
        <v>0</v>
      </c>
    </row>
    <row r="264" ht="17.55" spans="1:13">
      <c r="A264" s="2" t="s">
        <v>81</v>
      </c>
      <c r="B264" s="2" t="s">
        <v>82</v>
      </c>
      <c r="C264" s="1">
        <v>2019</v>
      </c>
      <c r="D264" s="1">
        <v>0.3</v>
      </c>
      <c r="E264" s="1">
        <v>30</v>
      </c>
      <c r="F264" s="1">
        <v>7.28</v>
      </c>
      <c r="G264" s="1">
        <v>5.08</v>
      </c>
      <c r="H264" s="13">
        <v>0.0591</v>
      </c>
      <c r="I264" s="13">
        <v>0.0412</v>
      </c>
      <c r="J264" s="8">
        <v>0.0314</v>
      </c>
      <c r="K264" s="8">
        <f t="shared" si="15"/>
        <v>0.0277</v>
      </c>
      <c r="L264" s="9" t="b">
        <v>0</v>
      </c>
    </row>
    <row r="265" ht="17.55" spans="1:13">
      <c r="A265" s="2" t="s">
        <v>81</v>
      </c>
      <c r="B265" s="2" t="s">
        <v>82</v>
      </c>
      <c r="C265" s="1">
        <v>2020</v>
      </c>
      <c r="D265" s="1">
        <v>0.315</v>
      </c>
      <c r="E265" s="1">
        <v>31.82</v>
      </c>
      <c r="F265" s="1">
        <v>6.12</v>
      </c>
      <c r="G265" s="1">
        <v>4.7</v>
      </c>
      <c r="H265" s="13">
        <v>0.067</v>
      </c>
      <c r="I265" s="13">
        <v>0.0515</v>
      </c>
      <c r="J265" s="8">
        <v>0.0317</v>
      </c>
      <c r="K265" s="8">
        <f t="shared" si="15"/>
        <v>0.0353</v>
      </c>
      <c r="L265" s="9" t="b">
        <v>0</v>
      </c>
    </row>
    <row r="266" ht="17.55" spans="1:13">
      <c r="A266" s="2" t="s">
        <v>81</v>
      </c>
      <c r="B266" s="2" t="s">
        <v>82</v>
      </c>
      <c r="C266" s="1">
        <v>2021</v>
      </c>
      <c r="D266" s="1">
        <v>0.317</v>
      </c>
      <c r="E266" s="1">
        <v>28.82</v>
      </c>
      <c r="F266" s="1">
        <v>6.46</v>
      </c>
      <c r="G266" s="1">
        <v>4.47</v>
      </c>
      <c r="H266" s="13">
        <v>0.0709</v>
      </c>
      <c r="I266" s="13">
        <v>0.0491</v>
      </c>
      <c r="J266" s="8">
        <v>0.0278</v>
      </c>
      <c r="K266" s="8">
        <f t="shared" si="15"/>
        <v>0.0431</v>
      </c>
      <c r="L266" s="9" t="b">
        <v>0</v>
      </c>
    </row>
    <row r="267" ht="17.55" spans="1:13">
      <c r="A267" s="2" t="s">
        <v>81</v>
      </c>
      <c r="B267" s="2" t="s">
        <v>82</v>
      </c>
      <c r="C267" s="1">
        <v>2022</v>
      </c>
      <c r="D267" s="1">
        <v>0.355</v>
      </c>
      <c r="E267" s="1">
        <v>31.14</v>
      </c>
      <c r="F267" s="1">
        <v>6.8</v>
      </c>
      <c r="G267" s="1">
        <v>4.62</v>
      </c>
      <c r="H267" s="13">
        <v>0.0768</v>
      </c>
      <c r="I267" s="13">
        <v>0.0522</v>
      </c>
      <c r="J267" s="8">
        <v>0.0284</v>
      </c>
      <c r="K267" s="8">
        <f t="shared" si="15"/>
        <v>0.0484</v>
      </c>
      <c r="L267" s="9" t="b">
        <v>0</v>
      </c>
    </row>
    <row r="268" ht="17.55" spans="1:13">
      <c r="A268" s="2" t="s">
        <v>81</v>
      </c>
      <c r="B268" s="2" t="s">
        <v>82</v>
      </c>
      <c r="C268" s="1">
        <v>2023</v>
      </c>
      <c r="D268" s="1">
        <v>0.375</v>
      </c>
      <c r="E268" s="1">
        <v>32.61</v>
      </c>
      <c r="F268" s="1">
        <v>7.36</v>
      </c>
      <c r="G268" s="1">
        <v>5.82</v>
      </c>
      <c r="H268" s="13">
        <v>0.0644</v>
      </c>
      <c r="I268" s="13">
        <v>0.051</v>
      </c>
      <c r="J268" s="8">
        <v>0.0257</v>
      </c>
      <c r="K268" s="8">
        <f t="shared" si="15"/>
        <v>0.0387</v>
      </c>
      <c r="L268" s="9" t="b">
        <v>0</v>
      </c>
    </row>
    <row r="269" ht="17.55" spans="1:13">
      <c r="A269" s="2" t="s">
        <v>81</v>
      </c>
      <c r="B269" s="2" t="s">
        <v>82</v>
      </c>
      <c r="C269" s="1">
        <v>2024</v>
      </c>
      <c r="D269" s="1">
        <v>0.379</v>
      </c>
      <c r="E269" s="1">
        <v>32.68</v>
      </c>
      <c r="F269" s="1">
        <v>7.77</v>
      </c>
      <c r="G269" s="1">
        <v>6.79</v>
      </c>
      <c r="H269" s="13">
        <v>0.0558</v>
      </c>
      <c r="I269" s="13">
        <v>0.0488</v>
      </c>
      <c r="J269" s="8">
        <v>0.0168</v>
      </c>
      <c r="K269" s="8">
        <f t="shared" si="15"/>
        <v>0.039</v>
      </c>
      <c r="L269" s="9" t="b">
        <v>0</v>
      </c>
    </row>
    <row r="270" ht="17.55" spans="1:13">
      <c r="A270" s="2" t="s">
        <v>81</v>
      </c>
      <c r="B270" s="2" t="s">
        <v>82</v>
      </c>
      <c r="C270" s="1">
        <v>2025</v>
      </c>
      <c r="D270" s="1">
        <v>0.3533</v>
      </c>
      <c r="E270" s="1">
        <v>30</v>
      </c>
      <c r="F270" s="1">
        <v>7.79</v>
      </c>
      <c r="G270" s="1">
        <v>7.21</v>
      </c>
      <c r="H270" s="13">
        <v>0.049</v>
      </c>
      <c r="I270" s="13">
        <v>0.0454</v>
      </c>
      <c r="J270" s="8">
        <v>0.0185</v>
      </c>
      <c r="K270" s="8">
        <f t="shared" si="15"/>
        <v>0.0305</v>
      </c>
      <c r="L270" s="9" t="b">
        <v>0</v>
      </c>
    </row>
    <row r="271" ht="17.75" spans="1:13">
      <c r="A271" s="5" t="s">
        <v>83</v>
      </c>
      <c r="B271" s="14" t="s">
        <v>84</v>
      </c>
      <c r="C271" s="6">
        <v>2018</v>
      </c>
      <c r="D271" s="6">
        <v>3.2</v>
      </c>
      <c r="E271" s="7">
        <v>0.495</v>
      </c>
      <c r="F271" s="6">
        <v>84.1</v>
      </c>
      <c r="G271" s="6">
        <v>67.9</v>
      </c>
      <c r="H271" s="7">
        <v>0.0474</v>
      </c>
      <c r="I271" s="7">
        <v>0.0383</v>
      </c>
      <c r="J271" s="8">
        <v>0.0323</v>
      </c>
      <c r="K271" s="8">
        <f t="shared" ref="K271:K286" si="16">H271-J271</f>
        <v>0.0151</v>
      </c>
      <c r="L271" s="9" t="b">
        <v>0</v>
      </c>
      <c r="M271" s="10"/>
    </row>
    <row r="272" ht="17.75" spans="1:13">
      <c r="A272" s="5" t="s">
        <v>83</v>
      </c>
      <c r="B272" s="14" t="s">
        <v>84</v>
      </c>
      <c r="C272" s="6">
        <v>2019</v>
      </c>
      <c r="D272" s="6">
        <v>3.3</v>
      </c>
      <c r="E272" s="7">
        <v>0.5</v>
      </c>
      <c r="F272" s="6">
        <v>87.7</v>
      </c>
      <c r="G272" s="6">
        <v>58.3</v>
      </c>
      <c r="H272" s="7">
        <v>0.0566</v>
      </c>
      <c r="I272" s="7">
        <v>0.0376</v>
      </c>
      <c r="J272" s="8">
        <v>0.0314</v>
      </c>
      <c r="K272" s="8">
        <f t="shared" si="16"/>
        <v>0.0252</v>
      </c>
      <c r="L272" s="9" t="b">
        <v>0</v>
      </c>
      <c r="M272" s="10"/>
    </row>
    <row r="273" ht="17.75" spans="1:13">
      <c r="A273" s="5" t="s">
        <v>83</v>
      </c>
      <c r="B273" s="14" t="s">
        <v>84</v>
      </c>
      <c r="C273" s="6">
        <v>2020</v>
      </c>
      <c r="D273" s="6">
        <v>3.3</v>
      </c>
      <c r="E273" s="7">
        <v>0.527</v>
      </c>
      <c r="F273" s="6">
        <v>70</v>
      </c>
      <c r="G273" s="6">
        <v>43.7</v>
      </c>
      <c r="H273" s="7">
        <v>0.0755</v>
      </c>
      <c r="I273" s="7">
        <v>0.0471</v>
      </c>
      <c r="J273" s="8">
        <v>0.0317</v>
      </c>
      <c r="K273" s="8">
        <f t="shared" si="16"/>
        <v>0.0438</v>
      </c>
      <c r="L273" s="9" t="b">
        <v>0</v>
      </c>
      <c r="M273" s="10"/>
    </row>
    <row r="274" ht="17.75" spans="1:13">
      <c r="A274" s="5" t="s">
        <v>83</v>
      </c>
      <c r="B274" s="14" t="s">
        <v>84</v>
      </c>
      <c r="C274" s="6">
        <v>2021</v>
      </c>
      <c r="D274" s="6">
        <v>4.1</v>
      </c>
      <c r="E274" s="7">
        <v>0.602</v>
      </c>
      <c r="F274" s="6">
        <v>59.2</v>
      </c>
      <c r="G274" s="6">
        <v>39</v>
      </c>
      <c r="H274" s="7">
        <v>0.1051</v>
      </c>
      <c r="I274" s="7">
        <v>0.0693</v>
      </c>
      <c r="J274" s="8">
        <v>0.0278</v>
      </c>
      <c r="K274" s="8">
        <f t="shared" si="16"/>
        <v>0.0773</v>
      </c>
      <c r="L274" s="9" t="b">
        <v>0</v>
      </c>
      <c r="M274" s="10"/>
    </row>
    <row r="275" ht="17.75" spans="1:13">
      <c r="A275" s="5" t="s">
        <v>83</v>
      </c>
      <c r="B275" s="14" t="s">
        <v>84</v>
      </c>
      <c r="C275" s="6">
        <v>2022</v>
      </c>
      <c r="D275" s="6">
        <v>4.4</v>
      </c>
      <c r="E275" s="7">
        <v>0.67</v>
      </c>
      <c r="F275" s="6">
        <v>58.7</v>
      </c>
      <c r="G275" s="6">
        <v>46.8</v>
      </c>
      <c r="H275" s="7">
        <v>0.094</v>
      </c>
      <c r="I275" s="7">
        <v>0.075</v>
      </c>
      <c r="J275" s="8">
        <v>0.0284</v>
      </c>
      <c r="K275" s="8">
        <f t="shared" si="16"/>
        <v>0.0656</v>
      </c>
      <c r="L275" s="9" t="b">
        <v>0</v>
      </c>
      <c r="M275" s="10"/>
    </row>
    <row r="276" ht="17.75" spans="1:13">
      <c r="A276" s="5" t="s">
        <v>83</v>
      </c>
      <c r="B276" s="14" t="s">
        <v>84</v>
      </c>
      <c r="C276" s="6">
        <v>2023</v>
      </c>
      <c r="D276" s="6">
        <v>4.8</v>
      </c>
      <c r="E276" s="7">
        <v>0.712</v>
      </c>
      <c r="F276" s="6">
        <v>70.2</v>
      </c>
      <c r="G276" s="6">
        <v>51.2</v>
      </c>
      <c r="H276" s="7">
        <v>0.0938</v>
      </c>
      <c r="I276" s="7">
        <v>0.0684</v>
      </c>
      <c r="J276" s="8">
        <v>0.0257</v>
      </c>
      <c r="K276" s="8">
        <f t="shared" si="16"/>
        <v>0.0681</v>
      </c>
      <c r="L276" s="9" t="b">
        <v>0</v>
      </c>
      <c r="M276" s="10"/>
    </row>
    <row r="277" ht="17.75" spans="1:13">
      <c r="A277" s="5" t="s">
        <v>83</v>
      </c>
      <c r="B277" s="14" t="s">
        <v>84</v>
      </c>
      <c r="C277" s="6">
        <v>2024</v>
      </c>
      <c r="D277" s="6">
        <v>5.1</v>
      </c>
      <c r="E277" s="7">
        <v>0.727</v>
      </c>
      <c r="F277" s="6">
        <v>79</v>
      </c>
      <c r="G277" s="6">
        <v>63</v>
      </c>
      <c r="H277" s="7">
        <v>0.081</v>
      </c>
      <c r="I277" s="7">
        <v>0.0646</v>
      </c>
      <c r="J277" s="8">
        <v>0.0168</v>
      </c>
      <c r="K277" s="8">
        <f t="shared" si="16"/>
        <v>0.0642</v>
      </c>
      <c r="L277" s="9" t="b">
        <v>0</v>
      </c>
      <c r="M277" s="10"/>
    </row>
    <row r="278" ht="17.75" spans="1:13">
      <c r="A278" s="5" t="s">
        <v>83</v>
      </c>
      <c r="B278" s="14" t="s">
        <v>84</v>
      </c>
      <c r="C278" s="6">
        <v>2025</v>
      </c>
      <c r="D278" s="6">
        <v>5.6</v>
      </c>
      <c r="E278" s="7">
        <v>0.75</v>
      </c>
      <c r="F278" s="6">
        <v>89.5</v>
      </c>
      <c r="G278" s="6">
        <v>73.5</v>
      </c>
      <c r="H278" s="7">
        <v>0.0762</v>
      </c>
      <c r="I278" s="7">
        <v>0.0626</v>
      </c>
      <c r="J278" s="8">
        <v>0.0185</v>
      </c>
      <c r="K278" s="8">
        <f t="shared" si="16"/>
        <v>0.0577</v>
      </c>
      <c r="L278" s="9" t="b">
        <v>0</v>
      </c>
      <c r="M278" s="10"/>
    </row>
    <row r="279" ht="17.75" spans="1:13">
      <c r="A279" s="5" t="s">
        <v>85</v>
      </c>
      <c r="B279" s="14" t="s">
        <v>86</v>
      </c>
      <c r="C279" s="6">
        <v>2017</v>
      </c>
      <c r="D279" s="6">
        <v>0.5</v>
      </c>
      <c r="E279" s="10"/>
      <c r="F279" s="6">
        <v>11.4</v>
      </c>
      <c r="G279" s="6">
        <v>8.5</v>
      </c>
      <c r="H279" s="7">
        <v>0.0588</v>
      </c>
      <c r="I279" s="7">
        <v>0.0439</v>
      </c>
      <c r="J279" s="8">
        <v>0.0388</v>
      </c>
      <c r="K279" s="8">
        <f t="shared" si="16"/>
        <v>0.02</v>
      </c>
      <c r="L279" s="9" t="b">
        <v>0</v>
      </c>
      <c r="M279" s="6">
        <v>54.7</v>
      </c>
    </row>
    <row r="280" ht="17.75" spans="1:13">
      <c r="A280" s="5" t="s">
        <v>85</v>
      </c>
      <c r="B280" s="14" t="s">
        <v>86</v>
      </c>
      <c r="C280" s="6">
        <v>2018</v>
      </c>
      <c r="D280" s="6">
        <v>0.7</v>
      </c>
      <c r="E280" s="10"/>
      <c r="F280" s="6">
        <v>15.8</v>
      </c>
      <c r="G280" s="6">
        <v>10.7</v>
      </c>
      <c r="H280" s="7">
        <v>0.0654</v>
      </c>
      <c r="I280" s="7">
        <v>0.0443</v>
      </c>
      <c r="J280" s="8">
        <v>0.0323</v>
      </c>
      <c r="K280" s="8">
        <f t="shared" si="16"/>
        <v>0.0331</v>
      </c>
      <c r="L280" s="9" t="b">
        <v>0</v>
      </c>
      <c r="M280" s="6">
        <v>71.3</v>
      </c>
    </row>
    <row r="281" ht="17.75" spans="1:13">
      <c r="A281" s="5" t="s">
        <v>85</v>
      </c>
      <c r="B281" s="14" t="s">
        <v>86</v>
      </c>
      <c r="C281" s="6">
        <v>2019</v>
      </c>
      <c r="D281" s="6">
        <v>0.78</v>
      </c>
      <c r="E281" s="10"/>
      <c r="F281" s="6">
        <v>15.1</v>
      </c>
      <c r="G281" s="6">
        <v>10.7</v>
      </c>
      <c r="H281" s="7">
        <v>0.0729</v>
      </c>
      <c r="I281" s="7">
        <v>0.0517</v>
      </c>
      <c r="J281" s="8">
        <v>0.0314</v>
      </c>
      <c r="K281" s="8">
        <f t="shared" si="16"/>
        <v>0.0415</v>
      </c>
      <c r="L281" s="9" t="b">
        <v>0</v>
      </c>
      <c r="M281" s="6">
        <v>64.3</v>
      </c>
    </row>
    <row r="282" ht="17.75" spans="1:13">
      <c r="A282" s="5" t="s">
        <v>85</v>
      </c>
      <c r="B282" s="14" t="s">
        <v>86</v>
      </c>
      <c r="C282" s="6">
        <v>2020</v>
      </c>
      <c r="D282" s="6">
        <v>0.45</v>
      </c>
      <c r="E282" s="10"/>
      <c r="F282" s="6">
        <v>14</v>
      </c>
      <c r="G282" s="6">
        <v>6.3</v>
      </c>
      <c r="H282" s="7">
        <v>0.0714</v>
      </c>
      <c r="I282" s="7">
        <v>0.0321</v>
      </c>
      <c r="J282" s="8">
        <v>0.0317</v>
      </c>
      <c r="K282" s="8">
        <f t="shared" si="16"/>
        <v>0.0397</v>
      </c>
      <c r="L282" s="9" t="b">
        <v>0</v>
      </c>
      <c r="M282" s="6">
        <v>41.8</v>
      </c>
    </row>
    <row r="283" ht="17.75" spans="1:13">
      <c r="A283" s="5" t="s">
        <v>85</v>
      </c>
      <c r="B283" s="14" t="s">
        <v>86</v>
      </c>
      <c r="C283" s="6">
        <v>2022</v>
      </c>
      <c r="D283" s="6">
        <v>1.45</v>
      </c>
      <c r="E283" s="10"/>
      <c r="F283" s="6">
        <v>12.5</v>
      </c>
      <c r="G283" s="6">
        <v>8</v>
      </c>
      <c r="H283" s="7">
        <v>0.1813</v>
      </c>
      <c r="I283" s="7">
        <v>0.116</v>
      </c>
      <c r="J283" s="8">
        <v>0.0284</v>
      </c>
      <c r="K283" s="8">
        <f t="shared" si="16"/>
        <v>0.1529</v>
      </c>
      <c r="L283" s="9" t="b">
        <v>0</v>
      </c>
      <c r="M283" s="6">
        <v>97.9</v>
      </c>
    </row>
    <row r="284" ht="17.75" spans="1:13">
      <c r="A284" s="5" t="s">
        <v>85</v>
      </c>
      <c r="B284" s="14" t="s">
        <v>86</v>
      </c>
      <c r="C284" s="6">
        <v>2023</v>
      </c>
      <c r="D284" s="6">
        <v>1.25</v>
      </c>
      <c r="E284" s="10"/>
      <c r="F284" s="6">
        <v>14.3</v>
      </c>
      <c r="G284" s="6">
        <v>9.9</v>
      </c>
      <c r="H284" s="7">
        <v>0.1263</v>
      </c>
      <c r="I284" s="7">
        <v>0.0874</v>
      </c>
      <c r="J284" s="8">
        <v>0.0257</v>
      </c>
      <c r="K284" s="8">
        <f t="shared" si="16"/>
        <v>0.1006</v>
      </c>
      <c r="L284" s="9" t="b">
        <v>0</v>
      </c>
      <c r="M284" s="6">
        <v>82.2</v>
      </c>
    </row>
    <row r="285" ht="17.75" spans="1:13">
      <c r="A285" s="5" t="s">
        <v>85</v>
      </c>
      <c r="B285" s="14" t="s">
        <v>86</v>
      </c>
      <c r="C285" s="6">
        <v>2024</v>
      </c>
      <c r="D285" s="6">
        <v>1.4</v>
      </c>
      <c r="E285" s="10"/>
      <c r="F285" s="6">
        <v>23.9</v>
      </c>
      <c r="G285" s="6">
        <v>12.9</v>
      </c>
      <c r="H285" s="7">
        <v>0.1085</v>
      </c>
      <c r="I285" s="7">
        <v>0.0586</v>
      </c>
      <c r="J285" s="8">
        <v>0.0168</v>
      </c>
      <c r="K285" s="8">
        <f t="shared" si="16"/>
        <v>0.0917</v>
      </c>
      <c r="L285" s="9" t="b">
        <v>0</v>
      </c>
      <c r="M285" s="6">
        <v>79.2</v>
      </c>
    </row>
    <row r="286" ht="17.75" spans="1:13">
      <c r="A286" s="5" t="s">
        <v>85</v>
      </c>
      <c r="B286" s="14" t="s">
        <v>86</v>
      </c>
      <c r="C286" s="6">
        <v>2025</v>
      </c>
      <c r="D286" s="6">
        <v>1.3</v>
      </c>
      <c r="E286" s="10"/>
      <c r="F286" s="6">
        <v>20</v>
      </c>
      <c r="G286" s="6">
        <v>15.5</v>
      </c>
      <c r="H286" s="7">
        <v>0.0839</v>
      </c>
      <c r="I286" s="7">
        <v>0.065</v>
      </c>
      <c r="J286" s="8">
        <v>0.0185</v>
      </c>
      <c r="K286" s="8">
        <f t="shared" si="16"/>
        <v>0.0654</v>
      </c>
      <c r="L286" s="9" t="b">
        <v>0</v>
      </c>
      <c r="M286" s="6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zhengren</dc:creator>
  <cp:lastModifiedBy>zhengren</cp:lastModifiedBy>
  <dcterms:created xsi:type="dcterms:W3CDTF">2026-02-18T01:36:00Z</dcterms:created>
  <dcterms:modified xsi:type="dcterms:W3CDTF">2026-02-21T13:28:52Z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9D21F8E04193B32A15E592696E8FEDB1_41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